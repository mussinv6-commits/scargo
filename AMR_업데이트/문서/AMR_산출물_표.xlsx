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표지" sheetId="1" state="visible" r:id="rId3"/>
    <sheet name="05_테일러링" sheetId="2" state="visible" r:id="rId4"/>
    <sheet name="06_요구사항정의서" sheetId="3" state="visible" r:id="rId5"/>
    <sheet name="07_WBS" sheetId="4" state="visible" r:id="rId6"/>
    <sheet name="08_주간보고" sheetId="5" state="visible" r:id="rId7"/>
    <sheet name="11_DB정의서" sheetId="6" state="visible" r:id="rId8"/>
    <sheet name="12_API정의서" sheetId="7" state="visible" r:id="rId9"/>
    <sheet name="13_개발일지" sheetId="8" state="visible" r:id="rId10"/>
    <sheet name="14_테스트계획서" sheetId="9" state="visible" r:id="rId11"/>
    <sheet name="15_테스트결과서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<sst xmlns="http://schemas.openxmlformats.org/spreadsheetml/2006/main" count="1648" uniqueCount="885">
  <si>
    <r>
      <rPr>
        <b val="true"/>
        <sz val="20"/>
        <color rgb="FF0B1520"/>
        <rFont val="Noto Sans CJK SC"/>
        <family val="2"/>
      </rPr>
      <t xml:space="preserve">허브 </t>
    </r>
    <r>
      <rPr>
        <b val="true"/>
        <sz val="20"/>
        <color rgb="FF0B1520"/>
        <rFont val="맑은 고딕"/>
        <family val="0"/>
        <charset val="1"/>
      </rPr>
      <t xml:space="preserve">AMR </t>
    </r>
    <r>
      <rPr>
        <b val="true"/>
        <sz val="20"/>
        <color rgb="FF0B1520"/>
        <rFont val="Noto Sans CJK SC"/>
        <family val="2"/>
      </rPr>
      <t xml:space="preserve">디지털 트윈 관제</t>
    </r>
  </si>
  <si>
    <r>
      <rPr>
        <b val="true"/>
        <sz val="13"/>
        <color rgb="FF0FA996"/>
        <rFont val="Noto Sans CJK SC"/>
        <family val="2"/>
      </rPr>
      <t xml:space="preserve">프로젝트 산출물 </t>
    </r>
    <r>
      <rPr>
        <b val="true"/>
        <sz val="13"/>
        <color rgb="FF0FA996"/>
        <rFont val="맑은 고딕"/>
        <family val="0"/>
        <charset val="1"/>
      </rPr>
      <t xml:space="preserve">(</t>
    </r>
    <r>
      <rPr>
        <b val="true"/>
        <sz val="13"/>
        <color rgb="FF0FA996"/>
        <rFont val="Noto Sans CJK SC"/>
        <family val="2"/>
      </rPr>
      <t xml:space="preserve">표 문서</t>
    </r>
    <r>
      <rPr>
        <b val="true"/>
        <sz val="13"/>
        <color rgb="FF0FA996"/>
        <rFont val="맑은 고딕"/>
        <family val="0"/>
        <charset val="1"/>
      </rPr>
      <t xml:space="preserve">)</t>
    </r>
  </si>
  <si>
    <t xml:space="preserve">프로젝트</t>
  </si>
  <si>
    <r>
      <rPr>
        <sz val="10"/>
        <rFont val="Noto Sans CJK SC"/>
        <family val="2"/>
      </rPr>
      <t xml:space="preserve">허브 </t>
    </r>
    <r>
      <rPr>
        <sz val="10"/>
        <rFont val="맑은 고딕"/>
        <family val="0"/>
        <charset val="1"/>
      </rPr>
      <t xml:space="preserve">AMR </t>
    </r>
    <r>
      <rPr>
        <sz val="10"/>
        <rFont val="Noto Sans CJK SC"/>
        <family val="2"/>
      </rPr>
      <t xml:space="preserve">디지털 트윈 관제 </t>
    </r>
    <r>
      <rPr>
        <sz val="10"/>
        <rFont val="맑은 고딕"/>
        <family val="0"/>
        <charset val="1"/>
      </rPr>
      <t xml:space="preserve">(S-CARGO </t>
    </r>
    <r>
      <rPr>
        <sz val="10"/>
        <rFont val="Noto Sans CJK SC"/>
        <family val="2"/>
      </rPr>
      <t xml:space="preserve">허브 파트 </t>
    </r>
    <r>
      <rPr>
        <sz val="10"/>
        <rFont val="맑은 고딕"/>
        <family val="0"/>
        <charset val="1"/>
      </rPr>
      <t xml:space="preserve">· 1</t>
    </r>
    <r>
      <rPr>
        <sz val="10"/>
        <rFont val="Noto Sans CJK SC"/>
        <family val="2"/>
      </rPr>
      <t xml:space="preserve">인 개발</t>
    </r>
    <r>
      <rPr>
        <sz val="10"/>
        <rFont val="맑은 고딕"/>
        <family val="0"/>
        <charset val="1"/>
      </rPr>
      <t xml:space="preserve">)</t>
    </r>
  </si>
  <si>
    <t xml:space="preserve">개발 기간</t>
  </si>
  <si>
    <t xml:space="preserve">2026-10-08 ~ 2026-10-16</t>
  </si>
  <si>
    <t xml:space="preserve">작성일</t>
  </si>
  <si>
    <t xml:space="preserve">2026-10-16</t>
  </si>
  <si>
    <t xml:space="preserve">작성자</t>
  </si>
  <si>
    <r>
      <rPr>
        <b val="true"/>
        <sz val="10"/>
        <rFont val="Noto Sans CJK SC"/>
        <family val="2"/>
      </rPr>
      <t xml:space="preserve">저장소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브랜치</t>
    </r>
  </si>
  <si>
    <r>
      <rPr>
        <sz val="10"/>
        <rFont val="맑은 고딕"/>
        <family val="0"/>
        <charset val="1"/>
      </rPr>
      <t xml:space="preserve">feature/amr-link (S-CARGO </t>
    </r>
    <r>
      <rPr>
        <sz val="10"/>
        <rFont val="Noto Sans CJK SC"/>
        <family val="2"/>
      </rPr>
      <t xml:space="preserve">팀 저장소</t>
    </r>
    <r>
      <rPr>
        <sz val="10"/>
        <rFont val="맑은 고딕"/>
        <family val="0"/>
        <charset val="1"/>
      </rPr>
      <t xml:space="preserve">)</t>
    </r>
  </si>
  <si>
    <t xml:space="preserve">근거</t>
  </si>
  <si>
    <r>
      <rPr>
        <sz val="10"/>
        <rFont val="Noto Sans CJK SC"/>
        <family val="2"/>
      </rPr>
      <t xml:space="preserve">모든 내용은 커밋 기록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코드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실제로 실행한 테스트에서만 작성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지어낸 내용 없음</t>
    </r>
    <r>
      <rPr>
        <sz val="10"/>
        <rFont val="맑은 고딕"/>
        <family val="0"/>
        <charset val="1"/>
      </rPr>
      <t xml:space="preserve">)</t>
    </r>
  </si>
  <si>
    <t xml:space="preserve">시트 목록</t>
  </si>
  <si>
    <t xml:space="preserve">05_테일러링</t>
  </si>
  <si>
    <r>
      <rPr>
        <sz val="10"/>
        <rFont val="Noto Sans CJK SC"/>
        <family val="2"/>
      </rPr>
      <t xml:space="preserve">산출물 적용 여부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사유</t>
    </r>
  </si>
  <si>
    <t xml:space="preserve">06_요구사항정의서</t>
  </si>
  <si>
    <r>
      <rPr>
        <sz val="10"/>
        <rFont val="Noto Sans CJK SC"/>
        <family val="2"/>
      </rPr>
      <t xml:space="preserve">기능 </t>
    </r>
    <r>
      <rPr>
        <sz val="10"/>
        <rFont val="맑은 고딕"/>
        <family val="0"/>
        <charset val="1"/>
      </rPr>
      <t xml:space="preserve">20 · </t>
    </r>
    <r>
      <rPr>
        <sz val="10"/>
        <rFont val="Noto Sans CJK SC"/>
        <family val="2"/>
      </rPr>
      <t xml:space="preserve">비기능 </t>
    </r>
    <r>
      <rPr>
        <sz val="10"/>
        <rFont val="맑은 고딕"/>
        <family val="0"/>
        <charset val="1"/>
      </rPr>
      <t xml:space="preserve">6</t>
    </r>
  </si>
  <si>
    <t xml:space="preserve">07_WBS</t>
  </si>
  <si>
    <r>
      <rPr>
        <sz val="10"/>
        <rFont val="Noto Sans CJK SC"/>
        <family val="2"/>
      </rPr>
      <t xml:space="preserve">실제 일정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커밋 기준</t>
    </r>
    <r>
      <rPr>
        <sz val="10"/>
        <rFont val="맑은 고딕"/>
        <family val="0"/>
        <charset val="1"/>
      </rPr>
      <t xml:space="preserve">)</t>
    </r>
  </si>
  <si>
    <t xml:space="preserve">08_주간보고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</si>
  <si>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커밋 기록 재구성</t>
    </r>
    <r>
      <rPr>
        <sz val="10"/>
        <rFont val="맑은 고딕"/>
        <family val="0"/>
        <charset val="1"/>
      </rPr>
      <t xml:space="preserve">)</t>
    </r>
  </si>
  <si>
    <t xml:space="preserve">11_DB정의서</t>
  </si>
  <si>
    <r>
      <rPr>
        <sz val="10"/>
        <rFont val="Noto Sans CJK SC"/>
        <family val="2"/>
      </rPr>
      <t xml:space="preserve">테이블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개</t>
    </r>
  </si>
  <si>
    <t xml:space="preserve">12_API정의서</t>
  </si>
  <si>
    <r>
      <rPr>
        <sz val="10"/>
        <rFont val="Noto Sans CJK SC"/>
        <family val="2"/>
      </rPr>
      <t xml:space="preserve">백엔드 </t>
    </r>
    <r>
      <rPr>
        <sz val="10"/>
        <rFont val="맑은 고딕"/>
        <family val="0"/>
        <charset val="1"/>
      </rPr>
      <t xml:space="preserve">23 · OCR </t>
    </r>
    <r>
      <rPr>
        <sz val="10"/>
        <rFont val="Noto Sans CJK SC"/>
        <family val="2"/>
      </rPr>
      <t xml:space="preserve">서버 </t>
    </r>
    <r>
      <rPr>
        <sz val="10"/>
        <rFont val="맑은 고딕"/>
        <family val="0"/>
        <charset val="1"/>
      </rPr>
      <t xml:space="preserve">2</t>
    </r>
  </si>
  <si>
    <t xml:space="preserve">13_개발일지</t>
  </si>
  <si>
    <r>
      <rPr>
        <sz val="10"/>
        <rFont val="Noto Sans CJK SC"/>
        <family val="2"/>
      </rPr>
      <t xml:space="preserve">날짜별 작업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문제 해결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커밋 기록 재구성</t>
    </r>
    <r>
      <rPr>
        <sz val="10"/>
        <rFont val="맑은 고딕"/>
        <family val="0"/>
        <charset val="1"/>
      </rPr>
      <t xml:space="preserve">)</t>
    </r>
  </si>
  <si>
    <t xml:space="preserve">14_테스트계획서</t>
  </si>
  <si>
    <r>
      <rPr>
        <sz val="10"/>
        <rFont val="Noto Sans CJK SC"/>
        <family val="2"/>
      </rPr>
      <t xml:space="preserve">단위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통합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실기기</t>
    </r>
  </si>
  <si>
    <t xml:space="preserve">15_테스트결과서</t>
  </si>
  <si>
    <r>
      <rPr>
        <sz val="10"/>
        <rFont val="Noto Sans CJK SC"/>
        <family val="2"/>
      </rPr>
      <t xml:space="preserve">결과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결함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조치</t>
    </r>
  </si>
  <si>
    <r>
      <rPr>
        <sz val="9.5"/>
        <color rgb="FF56677A"/>
        <rFont val="Noto Sans CJK SC"/>
        <family val="2"/>
      </rPr>
      <t xml:space="preserve">워드 문서</t>
    </r>
    <r>
      <rPr>
        <sz val="9.5"/>
        <color rgb="FF56677A"/>
        <rFont val="맑은 고딕"/>
        <family val="0"/>
        <charset val="1"/>
      </rPr>
      <t xml:space="preserve">(AMR_</t>
    </r>
    <r>
      <rPr>
        <sz val="9.5"/>
        <color rgb="FF56677A"/>
        <rFont val="Noto Sans CJK SC"/>
        <family val="2"/>
      </rPr>
      <t xml:space="preserve">산출물</t>
    </r>
    <r>
      <rPr>
        <sz val="9.5"/>
        <color rgb="FF56677A"/>
        <rFont val="맑은 고딕"/>
        <family val="0"/>
        <charset val="1"/>
      </rPr>
      <t xml:space="preserve">_</t>
    </r>
    <r>
      <rPr>
        <sz val="9.5"/>
        <color rgb="FF56677A"/>
        <rFont val="Noto Sans CJK SC"/>
        <family val="2"/>
      </rPr>
      <t xml:space="preserve">문서</t>
    </r>
    <r>
      <rPr>
        <sz val="9.5"/>
        <color rgb="FF56677A"/>
        <rFont val="맑은 고딕"/>
        <family val="0"/>
        <charset val="1"/>
      </rPr>
      <t xml:space="preserve">.docx): </t>
    </r>
    <r>
      <rPr>
        <sz val="9.5"/>
        <color rgb="FF56677A"/>
        <rFont val="Noto Sans CJK SC"/>
        <family val="2"/>
      </rPr>
      <t xml:space="preserve">수행계획서 </t>
    </r>
    <r>
      <rPr>
        <sz val="9.5"/>
        <color rgb="FF56677A"/>
        <rFont val="맑은 고딕"/>
        <family val="0"/>
        <charset val="1"/>
      </rPr>
      <t xml:space="preserve">· </t>
    </r>
    <r>
      <rPr>
        <sz val="9.5"/>
        <color rgb="FF56677A"/>
        <rFont val="Noto Sans CJK SC"/>
        <family val="2"/>
      </rPr>
      <t xml:space="preserve">개발표준지침서 </t>
    </r>
    <r>
      <rPr>
        <sz val="9.5"/>
        <color rgb="FF56677A"/>
        <rFont val="맑은 고딕"/>
        <family val="0"/>
        <charset val="1"/>
      </rPr>
      <t xml:space="preserve">· </t>
    </r>
    <r>
      <rPr>
        <sz val="9.5"/>
        <color rgb="FF56677A"/>
        <rFont val="Noto Sans CJK SC"/>
        <family val="2"/>
      </rPr>
      <t xml:space="preserve">문서관리표준지침서 </t>
    </r>
    <r>
      <rPr>
        <sz val="9.5"/>
        <color rgb="FF56677A"/>
        <rFont val="맑은 고딕"/>
        <family val="0"/>
        <charset val="1"/>
      </rPr>
      <t xml:space="preserve">· </t>
    </r>
    <r>
      <rPr>
        <sz val="9.5"/>
        <color rgb="FF56677A"/>
        <rFont val="Noto Sans CJK SC"/>
        <family val="2"/>
      </rPr>
      <t xml:space="preserve">화면정의서 </t>
    </r>
    <r>
      <rPr>
        <sz val="9.5"/>
        <color rgb="FF56677A"/>
        <rFont val="맑은 고딕"/>
        <family val="0"/>
        <charset val="1"/>
      </rPr>
      <t xml:space="preserve">· ERD</t>
    </r>
  </si>
  <si>
    <r>
      <rPr>
        <b val="true"/>
        <sz val="15"/>
        <color rgb="FF0B1520"/>
        <rFont val="맑은 고딕"/>
        <family val="0"/>
        <charset val="1"/>
      </rPr>
      <t xml:space="preserve">05 </t>
    </r>
    <r>
      <rPr>
        <b val="true"/>
        <sz val="15"/>
        <color rgb="FF0B1520"/>
        <rFont val="Noto Sans CJK SC"/>
        <family val="2"/>
      </rPr>
      <t xml:space="preserve">테일러링 </t>
    </r>
    <r>
      <rPr>
        <b val="true"/>
        <sz val="15"/>
        <color rgb="FF0B1520"/>
        <rFont val="맑은 고딕"/>
        <family val="0"/>
        <charset val="1"/>
      </rPr>
      <t xml:space="preserve">(</t>
    </r>
    <r>
      <rPr>
        <b val="true"/>
        <sz val="15"/>
        <color rgb="FF0B1520"/>
        <rFont val="Noto Sans CJK SC"/>
        <family val="2"/>
      </rPr>
      <t xml:space="preserve">산출물 관리</t>
    </r>
    <r>
      <rPr>
        <b val="true"/>
        <sz val="15"/>
        <color rgb="FF0B1520"/>
        <rFont val="맑은 고딕"/>
        <family val="0"/>
        <charset val="1"/>
      </rPr>
      <t xml:space="preserve">)</t>
    </r>
  </si>
  <si>
    <r>
      <rPr>
        <sz val="9"/>
        <color rgb="FF56677A"/>
        <rFont val="Noto Sans CJK SC"/>
        <family val="2"/>
      </rPr>
      <t xml:space="preserve">허브 </t>
    </r>
    <r>
      <rPr>
        <sz val="9"/>
        <color rgb="FF56677A"/>
        <rFont val="맑은 고딕"/>
        <family val="0"/>
        <charset val="1"/>
      </rPr>
      <t xml:space="preserve">AMR </t>
    </r>
    <r>
      <rPr>
        <sz val="9"/>
        <color rgb="FF56677A"/>
        <rFont val="Noto Sans CJK SC"/>
        <family val="2"/>
      </rPr>
      <t xml:space="preserve">디지털 트윈 관제 </t>
    </r>
    <r>
      <rPr>
        <sz val="9"/>
        <color rgb="FF56677A"/>
        <rFont val="맑은 고딕"/>
        <family val="0"/>
        <charset val="1"/>
      </rPr>
      <t xml:space="preserve">(S-CARGO </t>
    </r>
    <r>
      <rPr>
        <sz val="9"/>
        <color rgb="FF56677A"/>
        <rFont val="Noto Sans CJK SC"/>
        <family val="2"/>
      </rPr>
      <t xml:space="preserve">허브 파트 </t>
    </r>
    <r>
      <rPr>
        <sz val="9"/>
        <color rgb="FF56677A"/>
        <rFont val="맑은 고딕"/>
        <family val="0"/>
        <charset val="1"/>
      </rPr>
      <t xml:space="preserve">· 1</t>
    </r>
    <r>
      <rPr>
        <sz val="9"/>
        <color rgb="FF56677A"/>
        <rFont val="Noto Sans CJK SC"/>
        <family val="2"/>
      </rPr>
      <t xml:space="preserve">인 개발</t>
    </r>
    <r>
      <rPr>
        <sz val="9"/>
        <color rgb="FF56677A"/>
        <rFont val="맑은 고딕"/>
        <family val="0"/>
        <charset val="1"/>
      </rPr>
      <t xml:space="preserve">)  ·  </t>
    </r>
    <r>
      <rPr>
        <sz val="9"/>
        <color rgb="FF56677A"/>
        <rFont val="Noto Sans CJK SC"/>
        <family val="2"/>
      </rPr>
      <t xml:space="preserve">작성일 </t>
    </r>
    <r>
      <rPr>
        <sz val="9"/>
        <color rgb="FF56677A"/>
        <rFont val="맑은 고딕"/>
        <family val="0"/>
        <charset val="1"/>
      </rPr>
      <t xml:space="preserve">2026-10-16</t>
    </r>
  </si>
  <si>
    <t xml:space="preserve">번호</t>
  </si>
  <si>
    <t xml:space="preserve">산출물</t>
  </si>
  <si>
    <t xml:space="preserve">적용</t>
  </si>
  <si>
    <t xml:space="preserve">위치</t>
  </si>
  <si>
    <r>
      <rPr>
        <b val="true"/>
        <sz val="10"/>
        <color rgb="FFFFFFFF"/>
        <rFont val="Noto Sans CJK SC"/>
        <family val="2"/>
      </rPr>
      <t xml:space="preserve">사유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근거</t>
    </r>
  </si>
  <si>
    <t xml:space="preserve">기획 아이디어 회의</t>
  </si>
  <si>
    <t xml:space="preserve">제외</t>
  </si>
  <si>
    <t xml:space="preserve">-</t>
  </si>
  <si>
    <r>
      <rPr>
        <sz val="9.5"/>
        <rFont val="맑은 고딕"/>
        <family val="0"/>
        <charset val="1"/>
      </rPr>
      <t xml:space="preserve">AMR </t>
    </r>
    <r>
      <rPr>
        <sz val="9.5"/>
        <rFont val="Noto Sans CJK SC"/>
        <family val="2"/>
      </rPr>
      <t xml:space="preserve">파트는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인 개발로 회의를 따로 하지 않아 근거 기록이 없음</t>
    </r>
  </si>
  <si>
    <t xml:space="preserve">프로젝트 수행계획서</t>
  </si>
  <si>
    <r>
      <rPr>
        <sz val="9.5"/>
        <rFont val="Noto Sans CJK SC"/>
        <family val="2"/>
      </rPr>
      <t xml:space="preserve">워드 </t>
    </r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장</t>
    </r>
  </si>
  <si>
    <r>
      <rPr>
        <sz val="9.5"/>
        <rFont val="Noto Sans CJK SC"/>
        <family val="2"/>
      </rPr>
      <t xml:space="preserve">실제 범위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일정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커밋 기준</t>
    </r>
    <r>
      <rPr>
        <sz val="9.5"/>
        <rFont val="맑은 고딕"/>
        <family val="0"/>
        <charset val="1"/>
      </rPr>
      <t xml:space="preserve">) · </t>
    </r>
    <r>
      <rPr>
        <sz val="9.5"/>
        <rFont val="Noto Sans CJK SC"/>
        <family val="2"/>
      </rPr>
      <t xml:space="preserve">기술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위험으로 작성</t>
    </r>
  </si>
  <si>
    <t xml:space="preserve">개발표준지침서</t>
  </si>
  <si>
    <r>
      <rPr>
        <sz val="9.5"/>
        <rFont val="Noto Sans CJK SC"/>
        <family val="2"/>
      </rPr>
      <t xml:space="preserve">워드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장</t>
    </r>
  </si>
  <si>
    <r>
      <rPr>
        <sz val="9.5"/>
        <rFont val="Noto Sans CJK SC"/>
        <family val="2"/>
      </rPr>
      <t xml:space="preserve">코드에 실제로 쓰고 있는 명명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구조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주석 </t>
    </r>
    <r>
      <rPr>
        <sz val="9.5"/>
        <rFont val="맑은 고딕"/>
        <family val="0"/>
        <charset val="1"/>
      </rPr>
      <t xml:space="preserve">· API </t>
    </r>
    <r>
      <rPr>
        <sz val="9.5"/>
        <rFont val="Noto Sans CJK SC"/>
        <family val="2"/>
      </rPr>
      <t xml:space="preserve">규칙을 정리</t>
    </r>
  </si>
  <si>
    <t xml:space="preserve">문서관리표준지침서</t>
  </si>
  <si>
    <r>
      <rPr>
        <sz val="9.5"/>
        <rFont val="Noto Sans CJK SC"/>
        <family val="2"/>
      </rPr>
      <t xml:space="preserve">워드 </t>
    </r>
    <r>
      <rPr>
        <sz val="9.5"/>
        <rFont val="맑은 고딕"/>
        <family val="0"/>
        <charset val="1"/>
      </rPr>
      <t xml:space="preserve">4</t>
    </r>
    <r>
      <rPr>
        <sz val="9.5"/>
        <rFont val="Noto Sans CJK SC"/>
        <family val="2"/>
      </rPr>
      <t xml:space="preserve">장</t>
    </r>
  </si>
  <si>
    <r>
      <rPr>
        <sz val="9.5"/>
        <rFont val="맑은 고딕"/>
        <family val="0"/>
        <charset val="1"/>
      </rPr>
      <t xml:space="preserve">AMR_</t>
    </r>
    <r>
      <rPr>
        <sz val="9.5"/>
        <rFont val="Noto Sans CJK SC"/>
        <family val="2"/>
      </rPr>
      <t xml:space="preserve">업데이트 폴더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고정 파일명 </t>
    </r>
    <r>
      <rPr>
        <sz val="9.5"/>
        <rFont val="맑은 고딕"/>
        <family val="0"/>
        <charset val="1"/>
      </rPr>
      <t xml:space="preserve">· GitHub </t>
    </r>
    <r>
      <rPr>
        <sz val="9.5"/>
        <rFont val="Noto Sans CJK SC"/>
        <family val="2"/>
      </rPr>
      <t xml:space="preserve">업로드 방식 정리</t>
    </r>
  </si>
  <si>
    <r>
      <rPr>
        <sz val="9.5"/>
        <rFont val="Noto Sans CJK SC"/>
        <family val="2"/>
      </rPr>
      <t xml:space="preserve">테일러링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산출물 관리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</si>
  <si>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05 </t>
    </r>
    <r>
      <rPr>
        <sz val="9.5"/>
        <rFont val="Noto Sans CJK SC"/>
        <family val="2"/>
      </rPr>
      <t xml:space="preserve">시트</t>
    </r>
  </si>
  <si>
    <t xml:space="preserve">이 표</t>
  </si>
  <si>
    <t xml:space="preserve">요구사항정의서</t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</si>
  <si>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06 </t>
    </r>
    <r>
      <rPr>
        <sz val="9.5"/>
        <rFont val="Noto Sans CJK SC"/>
        <family val="2"/>
      </rPr>
      <t xml:space="preserve">시트</t>
    </r>
  </si>
  <si>
    <r>
      <rPr>
        <sz val="9.5"/>
        <rFont val="Noto Sans CJK SC"/>
        <family val="2"/>
      </rPr>
      <t xml:space="preserve">구현된 기능과 요청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반영 커밋 기준</t>
    </r>
  </si>
  <si>
    <t xml:space="preserve">WBS</t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</si>
  <si>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07 </t>
    </r>
    <r>
      <rPr>
        <sz val="9.5"/>
        <rFont val="Noto Sans CJK SC"/>
        <family val="2"/>
      </rPr>
      <t xml:space="preserve">시트</t>
    </r>
  </si>
  <si>
    <r>
      <rPr>
        <sz val="9.5"/>
        <rFont val="Noto Sans CJK SC"/>
        <family val="2"/>
      </rPr>
      <t xml:space="preserve">커밋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코드 날짜 태그로 실제 일정 정리</t>
    </r>
  </si>
  <si>
    <t xml:space="preserve">주간보고</t>
  </si>
  <si>
    <r>
      <rPr>
        <sz val="9.5"/>
        <rFont val="Noto Sans CJK SC"/>
        <family val="2"/>
      </rPr>
      <t xml:space="preserve">적용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재구성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</si>
  <si>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08 </t>
    </r>
    <r>
      <rPr>
        <sz val="9.5"/>
        <rFont val="Noto Sans CJK SC"/>
        <family val="2"/>
      </rPr>
      <t xml:space="preserve">시트</t>
    </r>
  </si>
  <si>
    <t xml:space="preserve">당시 작성본은 없음 → 커밋 기록으로 주차별 재구성</t>
  </si>
  <si>
    <t xml:space="preserve">화면 정의서</t>
  </si>
  <si>
    <r>
      <rPr>
        <sz val="9.5"/>
        <rFont val="Noto Sans CJK SC"/>
        <family val="2"/>
      </rPr>
      <t xml:space="preserve">워드 </t>
    </r>
    <r>
      <rPr>
        <sz val="9.5"/>
        <rFont val="맑은 고딕"/>
        <family val="0"/>
        <charset val="1"/>
      </rPr>
      <t xml:space="preserve">9</t>
    </r>
    <r>
      <rPr>
        <sz val="9.5"/>
        <rFont val="Noto Sans CJK SC"/>
        <family val="2"/>
      </rPr>
      <t xml:space="preserve">장</t>
    </r>
  </si>
  <si>
    <r>
      <rPr>
        <sz val="9.5"/>
        <rFont val="Noto Sans CJK SC"/>
        <family val="2"/>
      </rPr>
      <t xml:space="preserve">웹 관제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8</t>
    </r>
    <r>
      <rPr>
        <sz val="9.5"/>
        <rFont val="Noto Sans CJK SC"/>
        <family val="2"/>
      </rPr>
      <t xml:space="preserve">개 화면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시험 환경 캡처</t>
    </r>
    <r>
      <rPr>
        <sz val="9.5"/>
        <rFont val="맑은 고딕"/>
        <family val="0"/>
        <charset val="1"/>
      </rPr>
      <t xml:space="preserve">)</t>
    </r>
  </si>
  <si>
    <t xml:space="preserve">ERD</t>
  </si>
  <si>
    <r>
      <rPr>
        <sz val="9.5"/>
        <rFont val="Noto Sans CJK SC"/>
        <family val="2"/>
      </rPr>
      <t xml:space="preserve">워드 </t>
    </r>
    <r>
      <rPr>
        <sz val="9.5"/>
        <rFont val="맑은 고딕"/>
        <family val="0"/>
        <charset val="1"/>
      </rPr>
      <t xml:space="preserve">10</t>
    </r>
    <r>
      <rPr>
        <sz val="9.5"/>
        <rFont val="Noto Sans CJK SC"/>
        <family val="2"/>
      </rPr>
      <t xml:space="preserve">장</t>
    </r>
  </si>
  <si>
    <r>
      <rPr>
        <sz val="9.5"/>
        <rFont val="맑은 고딕"/>
        <family val="0"/>
        <charset val="1"/>
      </rPr>
      <t xml:space="preserve">JPA </t>
    </r>
    <r>
      <rPr>
        <sz val="9.5"/>
        <rFont val="Noto Sans CJK SC"/>
        <family val="2"/>
      </rPr>
      <t xml:space="preserve">엔티티 </t>
    </r>
    <r>
      <rPr>
        <sz val="9.5"/>
        <rFont val="맑은 고딕"/>
        <family val="0"/>
        <charset val="1"/>
      </rPr>
      <t xml:space="preserve">12</t>
    </r>
    <r>
      <rPr>
        <sz val="9.5"/>
        <rFont val="Noto Sans CJK SC"/>
        <family val="2"/>
      </rPr>
      <t xml:space="preserve">개 기준</t>
    </r>
  </si>
  <si>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정의서</t>
    </r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</si>
  <si>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11 </t>
    </r>
    <r>
      <rPr>
        <sz val="9.5"/>
        <rFont val="Noto Sans CJK SC"/>
        <family val="2"/>
      </rPr>
      <t xml:space="preserve">시트</t>
    </r>
  </si>
  <si>
    <t xml:space="preserve">엔티티 컬럼 정의에서 추출</t>
  </si>
  <si>
    <r>
      <rPr>
        <sz val="9.5"/>
        <rFont val="맑은 고딕"/>
        <family val="0"/>
        <charset val="1"/>
      </rPr>
      <t xml:space="preserve">API </t>
    </r>
    <r>
      <rPr>
        <sz val="9.5"/>
        <rFont val="Noto Sans CJK SC"/>
        <family val="2"/>
      </rPr>
      <t xml:space="preserve">정의서</t>
    </r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</si>
  <si>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12 </t>
    </r>
    <r>
      <rPr>
        <sz val="9.5"/>
        <rFont val="Noto Sans CJK SC"/>
        <family val="2"/>
      </rPr>
      <t xml:space="preserve">시트</t>
    </r>
  </si>
  <si>
    <r>
      <rPr>
        <sz val="9.5"/>
        <rFont val="Noto Sans CJK SC"/>
        <family val="2"/>
      </rPr>
      <t xml:space="preserve">백엔드 </t>
    </r>
    <r>
      <rPr>
        <sz val="9.5"/>
        <rFont val="맑은 고딕"/>
        <family val="0"/>
        <charset val="1"/>
      </rPr>
      <t xml:space="preserve">23</t>
    </r>
    <r>
      <rPr>
        <sz val="9.5"/>
        <rFont val="Noto Sans CJK SC"/>
        <family val="2"/>
      </rPr>
      <t xml:space="preserve">개 </t>
    </r>
    <r>
      <rPr>
        <sz val="9.5"/>
        <rFont val="맑은 고딕"/>
        <family val="0"/>
        <charset val="1"/>
      </rPr>
      <t xml:space="preserve">+ OCR </t>
    </r>
    <r>
      <rPr>
        <sz val="9.5"/>
        <rFont val="Noto Sans CJK SC"/>
        <family val="2"/>
      </rPr>
      <t xml:space="preserve">서버 </t>
    </r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개</t>
    </r>
  </si>
  <si>
    <t xml:space="preserve">개발일지</t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</si>
  <si>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13 </t>
    </r>
    <r>
      <rPr>
        <sz val="9.5"/>
        <rFont val="Noto Sans CJK SC"/>
        <family val="2"/>
      </rPr>
      <t xml:space="preserve">시트</t>
    </r>
  </si>
  <si>
    <r>
      <rPr>
        <sz val="9.5"/>
        <rFont val="Noto Sans CJK SC"/>
        <family val="2"/>
      </rPr>
      <t xml:space="preserve">당시 작성본은 없음 → 날짜별 커밋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문제 해결 기록으로 재구성</t>
    </r>
  </si>
  <si>
    <r>
      <rPr>
        <sz val="9.5"/>
        <rFont val="Noto Sans CJK SC"/>
        <family val="2"/>
      </rPr>
      <t xml:space="preserve">테스트계획서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단위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통합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</si>
  <si>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14 </t>
    </r>
    <r>
      <rPr>
        <sz val="9.5"/>
        <rFont val="Noto Sans CJK SC"/>
        <family val="2"/>
      </rPr>
      <t xml:space="preserve">시트</t>
    </r>
  </si>
  <si>
    <t xml:space="preserve">실제로 실행한 테스트만</t>
  </si>
  <si>
    <r>
      <rPr>
        <sz val="9.5"/>
        <rFont val="Noto Sans CJK SC"/>
        <family val="2"/>
      </rPr>
      <t xml:space="preserve">테스트결과서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단위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통합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</si>
  <si>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엑셀 </t>
    </r>
    <r>
      <rPr>
        <sz val="9.5"/>
        <rFont val="맑은 고딕"/>
        <family val="0"/>
        <charset val="1"/>
      </rPr>
      <t xml:space="preserve">15 </t>
    </r>
    <r>
      <rPr>
        <sz val="9.5"/>
        <rFont val="Noto Sans CJK SC"/>
        <family val="2"/>
      </rPr>
      <t xml:space="preserve">시트</t>
    </r>
  </si>
  <si>
    <r>
      <rPr>
        <sz val="9.5"/>
        <rFont val="Noto Sans CJK SC"/>
        <family val="2"/>
      </rPr>
      <t xml:space="preserve">실행 결과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발견 결함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조치 커밋</t>
    </r>
  </si>
  <si>
    <r>
      <rPr>
        <sz val="9.5"/>
        <rFont val="Noto Sans CJK SC"/>
        <family val="2"/>
      </rPr>
      <t xml:space="preserve">발표자료</t>
    </r>
    <r>
      <rPr>
        <sz val="9.5"/>
        <rFont val="맑은 고딕"/>
        <family val="0"/>
        <charset val="1"/>
      </rPr>
      <t xml:space="preserve">(PPT)</t>
    </r>
  </si>
  <si>
    <t xml:space="preserve">기존 자료</t>
  </si>
  <si>
    <t xml:space="preserve">문서 폴더</t>
  </si>
  <si>
    <r>
      <rPr>
        <sz val="9.5"/>
        <rFont val="맑은 고딕"/>
        <family val="0"/>
        <charset val="1"/>
      </rPr>
      <t xml:space="preserve">AMR_</t>
    </r>
    <r>
      <rPr>
        <sz val="9.5"/>
        <rFont val="Noto Sans CJK SC"/>
        <family val="2"/>
      </rPr>
      <t xml:space="preserve">포트폴리오 </t>
    </r>
    <r>
      <rPr>
        <sz val="9.5"/>
        <rFont val="맑은 고딕"/>
        <family val="0"/>
        <charset val="1"/>
      </rPr>
      <t xml:space="preserve">· AMR_</t>
    </r>
    <r>
      <rPr>
        <sz val="9.5"/>
        <rFont val="Noto Sans CJK SC"/>
        <family val="2"/>
      </rPr>
      <t xml:space="preserve">핵심기능 </t>
    </r>
    <r>
      <rPr>
        <sz val="9.5"/>
        <rFont val="맑은 고딕"/>
        <family val="0"/>
        <charset val="1"/>
      </rPr>
      <t xml:space="preserve">· AMR_</t>
    </r>
    <r>
      <rPr>
        <sz val="9.5"/>
        <rFont val="Noto Sans CJK SC"/>
        <family val="2"/>
      </rPr>
      <t xml:space="preserve">기술설명서 </t>
    </r>
    <r>
      <rPr>
        <sz val="9.5"/>
        <rFont val="맑은 고딕"/>
        <family val="0"/>
        <charset val="1"/>
      </rPr>
      <t xml:space="preserve">· AMR_</t>
    </r>
    <r>
      <rPr>
        <sz val="9.5"/>
        <rFont val="Noto Sans CJK SC"/>
        <family val="2"/>
      </rPr>
      <t xml:space="preserve">허브</t>
    </r>
    <r>
      <rPr>
        <sz val="9.5"/>
        <rFont val="맑은 고딕"/>
        <family val="0"/>
        <charset val="1"/>
      </rPr>
      <t xml:space="preserve">_</t>
    </r>
    <r>
      <rPr>
        <sz val="9.5"/>
        <rFont val="Noto Sans CJK SC"/>
        <family val="2"/>
      </rPr>
      <t xml:space="preserve">기술정리</t>
    </r>
  </si>
  <si>
    <r>
      <rPr>
        <b val="true"/>
        <sz val="15"/>
        <color rgb="FF0B1520"/>
        <rFont val="맑은 고딕"/>
        <family val="0"/>
        <charset val="1"/>
      </rPr>
      <t xml:space="preserve">06 </t>
    </r>
    <r>
      <rPr>
        <b val="true"/>
        <sz val="15"/>
        <color rgb="FF0B1520"/>
        <rFont val="Noto Sans CJK SC"/>
        <family val="2"/>
      </rPr>
      <t xml:space="preserve">요구사항정의서</t>
    </r>
  </si>
  <si>
    <t xml:space="preserve">ID</t>
  </si>
  <si>
    <t xml:space="preserve">구분</t>
  </si>
  <si>
    <t xml:space="preserve">영역</t>
  </si>
  <si>
    <t xml:space="preserve">요구사항명</t>
  </si>
  <si>
    <t xml:space="preserve">상세 내용</t>
  </si>
  <si>
    <t xml:space="preserve">반영일</t>
  </si>
  <si>
    <t xml:space="preserve">관련 화면</t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</si>
  <si>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맑은 고딕"/>
        <family val="0"/>
        <charset val="1"/>
      </rPr>
      <t xml:space="preserve">API</t>
    </r>
  </si>
  <si>
    <t xml:space="preserve">상태</t>
  </si>
  <si>
    <t xml:space="preserve">커밋</t>
  </si>
  <si>
    <t xml:space="preserve">REQ-01</t>
  </si>
  <si>
    <t xml:space="preserve">기능</t>
  </si>
  <si>
    <r>
      <rPr>
        <sz val="9.5"/>
        <rFont val="맑은 고딕"/>
        <family val="0"/>
        <charset val="1"/>
      </rPr>
      <t xml:space="preserve">3D </t>
    </r>
    <r>
      <rPr>
        <sz val="9.5"/>
        <rFont val="Noto Sans CJK SC"/>
        <family val="2"/>
      </rPr>
      <t xml:space="preserve">트윈</t>
    </r>
  </si>
  <si>
    <r>
      <rPr>
        <sz val="9.5"/>
        <rFont val="Noto Sans CJK SC"/>
        <family val="2"/>
      </rPr>
      <t xml:space="preserve">허브 </t>
    </r>
    <r>
      <rPr>
        <sz val="9.5"/>
        <rFont val="맑은 고딕"/>
        <family val="0"/>
        <charset val="1"/>
      </rPr>
      <t xml:space="preserve">3D </t>
    </r>
    <r>
      <rPr>
        <sz val="9.5"/>
        <rFont val="Noto Sans CJK SC"/>
        <family val="2"/>
      </rPr>
      <t xml:space="preserve">디지털 트윈</t>
    </r>
  </si>
  <si>
    <r>
      <rPr>
        <sz val="9.5"/>
        <rFont val="Noto Sans CJK SC"/>
        <family val="2"/>
      </rPr>
      <t xml:space="preserve">창고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랙 </t>
    </r>
    <r>
      <rPr>
        <sz val="9.5"/>
        <rFont val="맑은 고딕"/>
        <family val="0"/>
        <charset val="1"/>
      </rPr>
      <t xml:space="preserve">· AMR 5</t>
    </r>
    <r>
      <rPr>
        <sz val="9.5"/>
        <rFont val="Noto Sans CJK SC"/>
        <family val="2"/>
      </rPr>
      <t xml:space="preserve">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무인 지게차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트럭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게이트를 </t>
    </r>
    <r>
      <rPr>
        <sz val="9.5"/>
        <rFont val="맑은 고딕"/>
        <family val="0"/>
        <charset val="1"/>
      </rPr>
      <t xml:space="preserve">3D</t>
    </r>
    <r>
      <rPr>
        <sz val="9.5"/>
        <rFont val="Noto Sans CJK SC"/>
        <family val="2"/>
      </rPr>
      <t xml:space="preserve">로 보여 주고 시뮬레이터로 움직인다</t>
    </r>
  </si>
  <si>
    <t xml:space="preserve">10/08</t>
  </si>
  <si>
    <t xml:space="preserve">W-01, A-04</t>
  </si>
  <si>
    <t xml:space="preserve">완료</t>
  </si>
  <si>
    <t xml:space="preserve">e8f0da6</t>
  </si>
  <si>
    <t xml:space="preserve">REQ-02</t>
  </si>
  <si>
    <r>
      <rPr>
        <sz val="9.5"/>
        <rFont val="Noto Sans CJK SC"/>
        <family val="2"/>
      </rPr>
      <t xml:space="preserve">로봇 상태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센서 표시</t>
    </r>
  </si>
  <si>
    <r>
      <rPr>
        <sz val="9.5"/>
        <rFont val="Noto Sans CJK SC"/>
        <family val="2"/>
      </rPr>
      <t xml:space="preserve">로봇별 상태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진동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모터 온도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배터리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건강점수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누적 운반량을 보여 준다</t>
    </r>
  </si>
  <si>
    <t xml:space="preserve">W-01, A-06</t>
  </si>
  <si>
    <t xml:space="preserve">GET /state</t>
  </si>
  <si>
    <t xml:space="preserve">REQ-03</t>
  </si>
  <si>
    <t xml:space="preserve">예지보전</t>
  </si>
  <si>
    <r>
      <rPr>
        <sz val="9.5"/>
        <rFont val="Noto Sans CJK SC"/>
        <family val="2"/>
      </rPr>
      <t xml:space="preserve">고장 예측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자동 정비</t>
    </r>
  </si>
  <si>
    <r>
      <rPr>
        <sz val="9.5"/>
        <rFont val="Noto Sans CJK SC"/>
        <family val="2"/>
      </rPr>
      <t xml:space="preserve">진동 추세로 남은 수명을 계산하고 기준 이하이면 정비 예약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예비기</t>
    </r>
    <r>
      <rPr>
        <sz val="9.5"/>
        <rFont val="맑은 고딕"/>
        <family val="0"/>
        <charset val="1"/>
      </rPr>
      <t xml:space="preserve">(AMR-05) </t>
    </r>
    <r>
      <rPr>
        <sz val="9.5"/>
        <rFont val="Noto Sans CJK SC"/>
        <family val="2"/>
      </rPr>
      <t xml:space="preserve">투입</t>
    </r>
  </si>
  <si>
    <t xml:space="preserve">10/14</t>
  </si>
  <si>
    <t xml:space="preserve">POST /predictions, /maintenance/{id}/*</t>
  </si>
  <si>
    <t xml:space="preserve">d72f30c</t>
  </si>
  <si>
    <t xml:space="preserve">REQ-04</t>
  </si>
  <si>
    <t xml:space="preserve">운영 기준 설정</t>
  </si>
  <si>
    <r>
      <rPr>
        <sz val="9.5"/>
        <rFont val="Noto Sans CJK SC"/>
        <family val="2"/>
      </rPr>
      <t xml:space="preserve">정비 기준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남은 수명 시간</t>
    </r>
    <r>
      <rPr>
        <sz val="9.5"/>
        <rFont val="맑은 고딕"/>
        <family val="0"/>
        <charset val="1"/>
      </rPr>
      <t xml:space="preserve">) · </t>
    </r>
    <r>
      <rPr>
        <sz val="9.5"/>
        <rFont val="Noto Sans CJK SC"/>
        <family val="2"/>
      </rPr>
      <t xml:space="preserve">충전 기준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배터리 </t>
    </r>
    <r>
      <rPr>
        <sz val="9.5"/>
        <rFont val="맑은 고딕"/>
        <family val="0"/>
        <charset val="1"/>
      </rPr>
      <t xml:space="preserve">%)</t>
    </r>
    <r>
      <rPr>
        <sz val="9.5"/>
        <rFont val="Noto Sans CJK SC"/>
        <family val="2"/>
      </rPr>
      <t xml:space="preserve">을 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앱에서 바꾸면 </t>
    </r>
    <r>
      <rPr>
        <sz val="9.5"/>
        <rFont val="맑은 고딕"/>
        <family val="0"/>
        <charset val="1"/>
      </rPr>
      <t xml:space="preserve">DB</t>
    </r>
    <r>
      <rPr>
        <sz val="9.5"/>
        <rFont val="Noto Sans CJK SC"/>
        <family val="2"/>
      </rPr>
      <t xml:space="preserve">에 저장되고 양쪽에 반영</t>
    </r>
  </si>
  <si>
    <t xml:space="preserve">10/15</t>
  </si>
  <si>
    <t xml:space="preserve">W-01, A-02</t>
  </si>
  <si>
    <t xml:space="preserve">GET/PUT /settings</t>
  </si>
  <si>
    <t xml:space="preserve">b1907a2</t>
  </si>
  <si>
    <t xml:space="preserve">REQ-05</t>
  </si>
  <si>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연동</t>
    </r>
  </si>
  <si>
    <r>
      <rPr>
        <sz val="9.5"/>
        <rFont val="Noto Sans CJK SC"/>
        <family val="2"/>
      </rPr>
      <t xml:space="preserve">센서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이벤트 저장</t>
    </r>
  </si>
  <si>
    <r>
      <rPr>
        <sz val="9.5"/>
        <rFont val="Noto Sans CJK SC"/>
        <family val="2"/>
      </rPr>
      <t xml:space="preserve">웹 관제가 </t>
    </r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초마다 센서 값을 저장하고 관제 이벤트를 로그로 남긴다</t>
    </r>
  </si>
  <si>
    <t xml:space="preserve">POST /telemetry, /events</t>
  </si>
  <si>
    <t xml:space="preserve">REQ-06</t>
  </si>
  <si>
    <t xml:space="preserve">관리자 앱</t>
  </si>
  <si>
    <t xml:space="preserve">안드로이드 관리자 앱</t>
  </si>
  <si>
    <r>
      <rPr>
        <sz val="9.5"/>
        <rFont val="Noto Sans CJK SC"/>
        <family val="2"/>
      </rPr>
      <t xml:space="preserve">홈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통계 </t>
    </r>
    <r>
      <rPr>
        <sz val="9.5"/>
        <rFont val="맑은 고딕"/>
        <family val="0"/>
        <charset val="1"/>
      </rPr>
      <t xml:space="preserve">· 3D · </t>
    </r>
    <r>
      <rPr>
        <sz val="9.5"/>
        <rFont val="Noto Sans CJK SC"/>
        <family val="2"/>
      </rPr>
      <t xml:space="preserve">물류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로봇 탭과 알림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설정 화면</t>
    </r>
  </si>
  <si>
    <t xml:space="preserve">10/09</t>
  </si>
  <si>
    <t xml:space="preserve">A-01 ~ A-08</t>
  </si>
  <si>
    <t xml:space="preserve">0dec8cb, 35cd5ee</t>
  </si>
  <si>
    <t xml:space="preserve">REQ-07</t>
  </si>
  <si>
    <r>
      <rPr>
        <sz val="9.5"/>
        <rFont val="Noto Sans CJK SC"/>
        <family val="2"/>
      </rPr>
      <t xml:space="preserve">같은 </t>
    </r>
    <r>
      <rPr>
        <sz val="9.5"/>
        <rFont val="맑은 고딕"/>
        <family val="0"/>
        <charset val="1"/>
      </rPr>
      <t xml:space="preserve">WiFi</t>
    </r>
    <r>
      <rPr>
        <sz val="9.5"/>
        <rFont val="Noto Sans CJK SC"/>
        <family val="2"/>
      </rPr>
      <t xml:space="preserve">로 서버 연결</t>
    </r>
  </si>
  <si>
    <r>
      <rPr>
        <sz val="9.5"/>
        <rFont val="Noto Sans CJK SC"/>
        <family val="2"/>
      </rPr>
      <t xml:space="preserve">휴대폰이 노트북 서버</t>
    </r>
    <r>
      <rPr>
        <sz val="9.5"/>
        <rFont val="맑은 고딕"/>
        <family val="0"/>
        <charset val="1"/>
      </rPr>
      <t xml:space="preserve">(8080)</t>
    </r>
    <r>
      <rPr>
        <sz val="9.5"/>
        <rFont val="Noto Sans CJK SC"/>
        <family val="2"/>
      </rPr>
      <t xml:space="preserve">에 </t>
    </r>
    <r>
      <rPr>
        <sz val="9.5"/>
        <rFont val="맑은 고딕"/>
        <family val="0"/>
        <charset val="1"/>
      </rPr>
      <t xml:space="preserve">WiFi</t>
    </r>
    <r>
      <rPr>
        <sz val="9.5"/>
        <rFont val="Noto Sans CJK SC"/>
        <family val="2"/>
      </rPr>
      <t xml:space="preserve">로 연결 </t>
    </r>
    <r>
      <rPr>
        <sz val="9.5"/>
        <rFont val="맑은 고딕"/>
        <family val="0"/>
        <charset val="1"/>
      </rPr>
      <t xml:space="preserve">(WebView </t>
    </r>
    <r>
      <rPr>
        <sz val="9.5"/>
        <rFont val="Noto Sans CJK SC"/>
        <family val="2"/>
      </rPr>
      <t xml:space="preserve">사설망 차단 해결</t>
    </r>
    <r>
      <rPr>
        <sz val="9.5"/>
        <rFont val="맑은 고딕"/>
        <family val="0"/>
        <charset val="1"/>
      </rPr>
      <t xml:space="preserve">)</t>
    </r>
  </si>
  <si>
    <t xml:space="preserve">A-08</t>
  </si>
  <si>
    <t xml:space="preserve">1ac2bc3</t>
  </si>
  <si>
    <t xml:space="preserve">REQ-08</t>
  </si>
  <si>
    <t xml:space="preserve">OCR</t>
  </si>
  <si>
    <t xml:space="preserve">입구 번호판 인식</t>
  </si>
  <si>
    <r>
      <rPr>
        <sz val="9.5"/>
        <rFont val="Noto Sans CJK SC"/>
        <family val="2"/>
      </rPr>
      <t xml:space="preserve">화물차가 입구 게이트에 서면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차 프로젝트 </t>
    </r>
    <r>
      <rPr>
        <sz val="9.5"/>
        <rFont val="맑은 고딕"/>
        <family val="0"/>
        <charset val="1"/>
      </rPr>
      <t xml:space="preserve">OCR(YOLO + CRNN)</t>
    </r>
    <r>
      <rPr>
        <sz val="9.5"/>
        <rFont val="Noto Sans CJK SC"/>
        <family val="2"/>
      </rPr>
      <t xml:space="preserve">로 번호판을 인식</t>
    </r>
  </si>
  <si>
    <t xml:space="preserve">W-01</t>
  </si>
  <si>
    <t xml:space="preserve">POST /vehicles/scan, OCR /hub/scan</t>
  </si>
  <si>
    <t xml:space="preserve">a271183</t>
  </si>
  <si>
    <t xml:space="preserve">REQ-09</t>
  </si>
  <si>
    <t xml:space="preserve">출구 번호판 인식</t>
  </si>
  <si>
    <r>
      <rPr>
        <sz val="9.5"/>
        <rFont val="Noto Sans CJK SC"/>
        <family val="2"/>
      </rPr>
      <t xml:space="preserve">택배차가 나갈 때 번호판을 확인하고 실린 상자 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바코드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목적지를 기록</t>
    </r>
  </si>
  <si>
    <t xml:space="preserve">POST /vehicles/scan</t>
  </si>
  <si>
    <t xml:space="preserve">REQ-10</t>
  </si>
  <si>
    <t xml:space="preserve">등록 차량 판정</t>
  </si>
  <si>
    <r>
      <rPr>
        <sz val="9.5"/>
        <rFont val="Noto Sans CJK SC"/>
        <family val="2"/>
      </rPr>
      <t xml:space="preserve">차종 판정은 </t>
    </r>
    <r>
      <rPr>
        <sz val="9.5"/>
        <rFont val="맑은 고딕"/>
        <family val="0"/>
        <charset val="1"/>
      </rPr>
      <t xml:space="preserve">DB(</t>
    </r>
    <r>
      <rPr>
        <sz val="9.5"/>
        <rFont val="Noto Sans CJK SC"/>
        <family val="2"/>
      </rPr>
      <t xml:space="preserve">등록 차량</t>
    </r>
    <r>
      <rPr>
        <sz val="9.5"/>
        <rFont val="맑은 고딕"/>
        <family val="0"/>
        <charset val="1"/>
      </rPr>
      <t xml:space="preserve">)</t>
    </r>
    <r>
      <rPr>
        <sz val="9.5"/>
        <rFont val="Noto Sans CJK SC"/>
        <family val="2"/>
      </rPr>
      <t xml:space="preserve">로</t>
    </r>
    <r>
      <rPr>
        <sz val="9.5"/>
        <rFont val="맑은 고딕"/>
        <family val="0"/>
        <charset val="1"/>
      </rPr>
      <t xml:space="preserve">: </t>
    </r>
    <r>
      <rPr>
        <sz val="9.5"/>
        <rFont val="Noto Sans CJK SC"/>
        <family val="2"/>
      </rPr>
      <t xml:space="preserve">화물차 → 입고 도크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택배차 → 출고 도크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미등록 → 차단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회차</t>
    </r>
  </si>
  <si>
    <t xml:space="preserve">W-01, A-05</t>
  </si>
  <si>
    <t xml:space="preserve">GET /vehicles, /vehicles/registry</t>
  </si>
  <si>
    <t xml:space="preserve">REQ-11</t>
  </si>
  <si>
    <t xml:space="preserve">바코드</t>
  </si>
  <si>
    <r>
      <rPr>
        <sz val="9.5"/>
        <rFont val="Noto Sans CJK SC"/>
        <family val="2"/>
      </rPr>
      <t xml:space="preserve">상자 </t>
    </r>
    <r>
      <rPr>
        <sz val="9.5"/>
        <rFont val="맑은 고딕"/>
        <family val="0"/>
        <charset val="1"/>
      </rPr>
      <t xml:space="preserve">EAN-13 </t>
    </r>
    <r>
      <rPr>
        <sz val="9.5"/>
        <rFont val="Noto Sans CJK SC"/>
        <family val="2"/>
      </rPr>
      <t xml:space="preserve">바코드</t>
    </r>
  </si>
  <si>
    <r>
      <rPr>
        <sz val="9.5"/>
        <rFont val="Noto Sans CJK SC"/>
        <family val="2"/>
      </rPr>
      <t xml:space="preserve">바코드 폴더와 같은 번호 체계</t>
    </r>
    <r>
      <rPr>
        <sz val="9.5"/>
        <rFont val="맑은 고딕"/>
        <family val="0"/>
        <charset val="1"/>
      </rPr>
      <t xml:space="preserve">(880261014 + </t>
    </r>
    <r>
      <rPr>
        <sz val="9.5"/>
        <rFont val="Noto Sans CJK SC"/>
        <family val="2"/>
      </rPr>
      <t xml:space="preserve">그룹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번호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검증숫자</t>
    </r>
    <r>
      <rPr>
        <sz val="9.5"/>
        <rFont val="맑은 고딕"/>
        <family val="0"/>
        <charset val="1"/>
      </rPr>
      <t xml:space="preserve">)</t>
    </r>
    <r>
      <rPr>
        <sz val="9.5"/>
        <rFont val="Noto Sans CJK SC"/>
        <family val="2"/>
      </rPr>
      <t xml:space="preserve">로 상자에 바코드 표시</t>
    </r>
  </si>
  <si>
    <t xml:space="preserve">a271183, b330d6e</t>
  </si>
  <si>
    <t xml:space="preserve">REQ-12</t>
  </si>
  <si>
    <r>
      <rPr>
        <sz val="9.5"/>
        <rFont val="Noto Sans CJK SC"/>
        <family val="2"/>
      </rPr>
      <t xml:space="preserve">인식 결과 </t>
    </r>
    <r>
      <rPr>
        <sz val="9.5"/>
        <rFont val="맑은 고딕"/>
        <family val="0"/>
        <charset val="1"/>
      </rPr>
      <t xml:space="preserve">3D </t>
    </r>
    <r>
      <rPr>
        <sz val="9.5"/>
        <rFont val="Noto Sans CJK SC"/>
        <family val="2"/>
      </rPr>
      <t xml:space="preserve">표시</t>
    </r>
  </si>
  <si>
    <r>
      <rPr>
        <sz val="9.5"/>
        <rFont val="Noto Sans CJK SC"/>
        <family val="2"/>
      </rPr>
      <t xml:space="preserve">인식한 번호판을 </t>
    </r>
    <r>
      <rPr>
        <sz val="9.5"/>
        <rFont val="맑은 고딕"/>
        <family val="0"/>
        <charset val="1"/>
      </rPr>
      <t xml:space="preserve">3D </t>
    </r>
    <r>
      <rPr>
        <sz val="9.5"/>
        <rFont val="Noto Sans CJK SC"/>
        <family val="2"/>
      </rPr>
      <t xml:space="preserve">트럭 번호판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말풍선에 표시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입차 때 게이트에서 최소 </t>
    </r>
    <r>
      <rPr>
        <sz val="9.5"/>
        <rFont val="맑은 고딕"/>
        <family val="0"/>
        <charset val="1"/>
      </rPr>
      <t xml:space="preserve">2.5</t>
    </r>
    <r>
      <rPr>
        <sz val="9.5"/>
        <rFont val="Noto Sans CJK SC"/>
        <family val="2"/>
      </rPr>
      <t xml:space="preserve">초 정지</t>
    </r>
  </si>
  <si>
    <t xml:space="preserve">059165e, e6f6ab0</t>
  </si>
  <si>
    <t xml:space="preserve">REQ-13</t>
  </si>
  <si>
    <t xml:space="preserve">운영</t>
  </si>
  <si>
    <r>
      <rPr>
        <sz val="9.5"/>
        <rFont val="Noto Sans CJK SC"/>
        <family val="2"/>
      </rPr>
      <t xml:space="preserve">교차로 예약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충돌 방지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</si>
  <si>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교차로 </t>
    </r>
    <r>
      <rPr>
        <sz val="9.5"/>
        <rFont val="맑은 고딕"/>
        <family val="0"/>
        <charset val="1"/>
      </rPr>
      <t xml:space="preserve">10</t>
    </r>
    <r>
      <rPr>
        <sz val="9.5"/>
        <rFont val="Noto Sans CJK SC"/>
        <family val="2"/>
      </rPr>
      <t xml:space="preserve">곳을 한 번에 한 대만 통과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제동 거리 감속 </t>
    </r>
    <r>
      <rPr>
        <sz val="9.5"/>
        <rFont val="맑은 고딕"/>
        <family val="0"/>
        <charset val="1"/>
      </rPr>
      <t xml:space="preserve">· 3.5</t>
    </r>
    <r>
      <rPr>
        <sz val="9.5"/>
        <rFont val="Noto Sans CJK SC"/>
        <family val="2"/>
      </rPr>
      <t xml:space="preserve">초 교착 양보</t>
    </r>
  </si>
  <si>
    <t xml:space="preserve">35cd5ee</t>
  </si>
  <si>
    <t xml:space="preserve">REQ-14</t>
  </si>
  <si>
    <t xml:space="preserve">통계</t>
  </si>
  <si>
    <r>
      <rPr>
        <sz val="9.5"/>
        <rFont val="맑은 고딕"/>
        <family val="0"/>
        <charset val="1"/>
      </rPr>
      <t xml:space="preserve">KPI </t>
    </r>
    <r>
      <rPr>
        <sz val="9.5"/>
        <rFont val="Noto Sans CJK SC"/>
        <family val="2"/>
      </rPr>
      <t xml:space="preserve">통계</t>
    </r>
  </si>
  <si>
    <r>
      <rPr>
        <sz val="9.5"/>
        <rFont val="Noto Sans CJK SC"/>
        <family val="2"/>
      </rPr>
      <t xml:space="preserve">처리량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시간대별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가동률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평균 운반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교차로 대기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입출차 </t>
    </r>
    <r>
      <rPr>
        <sz val="9.5"/>
        <rFont val="맑은 고딕"/>
        <family val="0"/>
        <charset val="1"/>
      </rPr>
      <t xml:space="preserve">· OCR </t>
    </r>
    <r>
      <rPr>
        <sz val="9.5"/>
        <rFont val="Noto Sans CJK SC"/>
        <family val="2"/>
      </rPr>
      <t xml:space="preserve">신뢰도</t>
    </r>
  </si>
  <si>
    <t xml:space="preserve">W-01, A-03</t>
  </si>
  <si>
    <t xml:space="preserve">POST /tasks, GET /kpi</t>
  </si>
  <si>
    <t xml:space="preserve">REQ-15</t>
  </si>
  <si>
    <t xml:space="preserve">지도 앱식 조작</t>
  </si>
  <si>
    <r>
      <rPr>
        <sz val="9.5"/>
        <rFont val="Noto Sans CJK SC"/>
        <family val="2"/>
      </rPr>
      <t xml:space="preserve">드래그 이동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회전 제한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휠 확대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게이트까지 보이도록 부지 전체 범위</t>
    </r>
  </si>
  <si>
    <t xml:space="preserve">d0534ce</t>
  </si>
  <si>
    <t xml:space="preserve">REQ-16</t>
  </si>
  <si>
    <r>
      <rPr>
        <sz val="9.5"/>
        <rFont val="Noto Sans CJK SC"/>
        <family val="2"/>
      </rPr>
      <t xml:space="preserve">바로가기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게이트 자동</t>
    </r>
  </si>
  <si>
    <r>
      <rPr>
        <sz val="9.5"/>
        <rFont val="Noto Sans CJK SC"/>
        <family val="2"/>
      </rPr>
      <t xml:space="preserve">바로가기 </t>
    </r>
    <r>
      <rPr>
        <sz val="9.5"/>
        <rFont val="맑은 고딕"/>
        <family val="0"/>
        <charset val="1"/>
      </rPr>
      <t xml:space="preserve">7</t>
    </r>
    <r>
      <rPr>
        <sz val="9.5"/>
        <rFont val="Noto Sans CJK SC"/>
        <family val="2"/>
      </rPr>
      <t xml:space="preserve">곳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차량이 게이트에 오면 </t>
    </r>
    <r>
      <rPr>
        <sz val="9.5"/>
        <rFont val="맑은 고딕"/>
        <family val="0"/>
        <charset val="1"/>
      </rPr>
      <t xml:space="preserve">6</t>
    </r>
    <r>
      <rPr>
        <sz val="9.5"/>
        <rFont val="Noto Sans CJK SC"/>
        <family val="2"/>
      </rPr>
      <t xml:space="preserve">초 보여 주고 원래 시점으로 복귀</t>
    </r>
  </si>
  <si>
    <t xml:space="preserve">d0534ce, 06cea47, 0d47604, e6f6ab0</t>
  </si>
  <si>
    <t xml:space="preserve">REQ-17</t>
  </si>
  <si>
    <t xml:space="preserve">지금 확인할 일</t>
  </si>
  <si>
    <r>
      <rPr>
        <sz val="9.5"/>
        <rFont val="Noto Sans CJK SC"/>
        <family val="2"/>
      </rPr>
      <t xml:space="preserve">차단 차량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정비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배터리 부족만 홈 카드로 모아 보여 주고 누르면 해당 화면</t>
    </r>
  </si>
  <si>
    <t xml:space="preserve">A-02</t>
  </si>
  <si>
    <t xml:space="preserve">REQ-18</t>
  </si>
  <si>
    <t xml:space="preserve">알림</t>
  </si>
  <si>
    <r>
      <rPr>
        <sz val="9.5"/>
        <rFont val="Noto Sans CJK SC"/>
        <family val="2"/>
      </rPr>
      <t xml:space="preserve">휴대폰 알림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우선순위</t>
    </r>
  </si>
  <si>
    <r>
      <rPr>
        <sz val="9.5"/>
        <rFont val="Noto Sans CJK SC"/>
        <family val="2"/>
      </rPr>
      <t xml:space="preserve">긴급만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긴급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주의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전부 중 선택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서버 </t>
    </r>
    <r>
      <rPr>
        <sz val="9.5"/>
        <rFont val="맑은 고딕"/>
        <family val="0"/>
        <charset val="1"/>
      </rPr>
      <t xml:space="preserve">15</t>
    </r>
    <r>
      <rPr>
        <sz val="9.5"/>
        <rFont val="Noto Sans CJK SC"/>
        <family val="2"/>
      </rPr>
      <t xml:space="preserve">초 끊김은 긴급 알림</t>
    </r>
  </si>
  <si>
    <t xml:space="preserve">10/16</t>
  </si>
  <si>
    <t xml:space="preserve">d0534ce, 01eb6ed</t>
  </si>
  <si>
    <t xml:space="preserve">REQ-19</t>
  </si>
  <si>
    <t xml:space="preserve">보안</t>
  </si>
  <si>
    <t xml:space="preserve">관리자 앱 인증</t>
  </si>
  <si>
    <r>
      <rPr>
        <sz val="9.5"/>
        <rFont val="Noto Sans CJK SC"/>
        <family val="2"/>
      </rPr>
      <t xml:space="preserve">웹은 팀 관리자 로그인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앱은 웹에 뜬 </t>
    </r>
    <r>
      <rPr>
        <sz val="9.5"/>
        <rFont val="맑은 고딕"/>
        <family val="0"/>
        <charset val="1"/>
      </rPr>
      <t xml:space="preserve">QR(</t>
    </r>
    <r>
      <rPr>
        <sz val="9.5"/>
        <rFont val="Noto Sans CJK SC"/>
        <family val="2"/>
      </rPr>
      <t xml:space="preserve">주소 포함</t>
    </r>
    <r>
      <rPr>
        <sz val="9.5"/>
        <rFont val="맑은 고딕"/>
        <family val="0"/>
        <charset val="1"/>
      </rPr>
      <t xml:space="preserve">) · 6</t>
    </r>
    <r>
      <rPr>
        <sz val="9.5"/>
        <rFont val="Noto Sans CJK SC"/>
        <family val="2"/>
      </rPr>
      <t xml:space="preserve">자리로 </t>
    </r>
    <r>
      <rPr>
        <sz val="9.5"/>
        <rFont val="맑은 고딕"/>
        <family val="0"/>
        <charset val="1"/>
      </rPr>
      <t xml:space="preserve">24</t>
    </r>
    <r>
      <rPr>
        <sz val="9.5"/>
        <rFont val="Noto Sans CJK SC"/>
        <family val="2"/>
      </rPr>
      <t xml:space="preserve">시간 로그인</t>
    </r>
  </si>
  <si>
    <t xml:space="preserve">W-02, A-01</t>
  </si>
  <si>
    <t xml:space="preserve">/api/amr/auth/*</t>
  </si>
  <si>
    <t xml:space="preserve">3ed26c4, ee93a65</t>
  </si>
  <si>
    <t xml:space="preserve">REQ-20</t>
  </si>
  <si>
    <t xml:space="preserve">인식 사진 보기</t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</si>
  <si>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Gate OCR </t>
    </r>
    <r>
      <rPr>
        <sz val="9.5"/>
        <rFont val="Noto Sans CJK SC"/>
        <family val="2"/>
      </rPr>
      <t xml:space="preserve">카드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물류 탭에서 번호를 누르면 인식 사진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백엔드 경유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실패 시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서버 직접</t>
    </r>
    <r>
      <rPr>
        <sz val="9.5"/>
        <rFont val="맑은 고딕"/>
        <family val="0"/>
        <charset val="1"/>
      </rPr>
      <t xml:space="preserve">)</t>
    </r>
  </si>
  <si>
    <t xml:space="preserve">W-03, A-05</t>
  </si>
  <si>
    <t xml:space="preserve">GET /vehicles/{id}/photo</t>
  </si>
  <si>
    <t xml:space="preserve">4a2de28, e6f6ab0</t>
  </si>
  <si>
    <t xml:space="preserve">NFR-01</t>
  </si>
  <si>
    <t xml:space="preserve">비기능</t>
  </si>
  <si>
    <t xml:space="preserve">성능</t>
  </si>
  <si>
    <t xml:space="preserve">상태 동기화</t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</si>
  <si>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· DB</t>
    </r>
    <r>
      <rPr>
        <sz val="9.5"/>
        <rFont val="Noto Sans CJK SC"/>
        <family val="2"/>
      </rPr>
      <t xml:space="preserve">가 </t>
    </r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초 주기로 같은 상태를 공유</t>
    </r>
  </si>
  <si>
    <t xml:space="preserve">NFR-02</t>
  </si>
  <si>
    <t xml:space="preserve">저사양 모드</t>
  </si>
  <si>
    <r>
      <rPr>
        <sz val="9.5"/>
        <rFont val="Noto Sans CJK SC"/>
        <family val="2"/>
      </rPr>
      <t xml:space="preserve">그래픽카드 없는 노트북에서도 동작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그림자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효과 끄기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느리면 자동 전환</t>
    </r>
    <r>
      <rPr>
        <sz val="9.5"/>
        <rFont val="맑은 고딕"/>
        <family val="0"/>
        <charset val="1"/>
      </rPr>
      <t xml:space="preserve">)</t>
    </r>
  </si>
  <si>
    <t xml:space="preserve">NFR-03</t>
  </si>
  <si>
    <t xml:space="preserve">인증 안전장치</t>
  </si>
  <si>
    <r>
      <rPr>
        <sz val="9.5"/>
        <rFont val="맑은 고딕"/>
        <family val="0"/>
        <charset val="1"/>
      </rPr>
      <t xml:space="preserve">5</t>
    </r>
    <r>
      <rPr>
        <sz val="9.5"/>
        <rFont val="Noto Sans CJK SC"/>
        <family val="2"/>
      </rPr>
      <t xml:space="preserve">회 실패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분 잠금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코드 재사용 금지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토큰 </t>
    </r>
    <r>
      <rPr>
        <sz val="9.5"/>
        <rFont val="맑은 고딕"/>
        <family val="0"/>
        <charset val="1"/>
      </rPr>
      <t xml:space="preserve">SHA-256 </t>
    </r>
    <r>
      <rPr>
        <sz val="9.5"/>
        <rFont val="Noto Sans CJK SC"/>
        <family val="2"/>
      </rPr>
      <t xml:space="preserve">해시 저장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팀 공통 로그인 설정은 변경하지 않음</t>
    </r>
  </si>
  <si>
    <t xml:space="preserve">3ed26c4</t>
  </si>
  <si>
    <t xml:space="preserve">NFR-04</t>
  </si>
  <si>
    <t xml:space="preserve">가용성</t>
  </si>
  <si>
    <t xml:space="preserve">서버 장애 시 계속 동작</t>
  </si>
  <si>
    <r>
      <rPr>
        <sz val="9.5"/>
        <rFont val="맑은 고딕"/>
        <family val="0"/>
        <charset val="1"/>
      </rPr>
      <t xml:space="preserve">DB · OCR </t>
    </r>
    <r>
      <rPr>
        <sz val="9.5"/>
        <rFont val="Noto Sans CJK SC"/>
        <family val="2"/>
      </rPr>
      <t xml:space="preserve">서버가 꺼져도 </t>
    </r>
    <r>
      <rPr>
        <sz val="9.5"/>
        <rFont val="맑은 고딕"/>
        <family val="0"/>
        <charset val="1"/>
      </rPr>
      <t xml:space="preserve">3D </t>
    </r>
    <r>
      <rPr>
        <sz val="9.5"/>
        <rFont val="Noto Sans CJK SC"/>
        <family val="2"/>
      </rPr>
      <t xml:space="preserve">시뮬레이션은 계속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배지로 상태 표시</t>
    </r>
  </si>
  <si>
    <t xml:space="preserve">d72f30c, 997e30b</t>
  </si>
  <si>
    <t xml:space="preserve">NFR-05</t>
  </si>
  <si>
    <t xml:space="preserve">이식성</t>
  </si>
  <si>
    <t xml:space="preserve">다른 노트북 연결</t>
  </si>
  <si>
    <r>
      <rPr>
        <sz val="9.5"/>
        <rFont val="맑은 고딕"/>
        <family val="0"/>
        <charset val="1"/>
      </rPr>
      <t xml:space="preserve">QR</t>
    </r>
    <r>
      <rPr>
        <sz val="9.5"/>
        <rFont val="Noto Sans CJK SC"/>
        <family val="2"/>
      </rPr>
      <t xml:space="preserve">에 노트북 주소를 담아 앱 주소 입력 없이 연결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연결 키트로 파일 한 곳에 모음</t>
    </r>
  </si>
  <si>
    <t xml:space="preserve">W-02</t>
  </si>
  <si>
    <t xml:space="preserve">ee93a65</t>
  </si>
  <si>
    <t xml:space="preserve">NFR-06</t>
  </si>
  <si>
    <t xml:space="preserve">일관성</t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</si>
  <si>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화면 문구 통일</t>
    </r>
  </si>
  <si>
    <r>
      <rPr>
        <sz val="9.5"/>
        <rFont val="맑은 고딕"/>
        <family val="0"/>
        <charset val="1"/>
      </rPr>
      <t xml:space="preserve">3D </t>
    </r>
    <r>
      <rPr>
        <sz val="9.5"/>
        <rFont val="Noto Sans CJK SC"/>
        <family val="2"/>
      </rPr>
      <t xml:space="preserve">시점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바로가기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게이트 자동 문구를 웹과 앱에서 같게</t>
    </r>
  </si>
  <si>
    <t xml:space="preserve">09880b1</t>
  </si>
  <si>
    <r>
      <rPr>
        <b val="true"/>
        <sz val="11"/>
        <rFont val="Noto Sans CJK SC"/>
        <family val="2"/>
      </rPr>
      <t xml:space="preserve">완료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전체</t>
    </r>
  </si>
  <si>
    <r>
      <rPr>
        <b val="true"/>
        <sz val="15"/>
        <color rgb="FF0B1520"/>
        <rFont val="맑은 고딕"/>
        <family val="0"/>
        <charset val="1"/>
      </rPr>
      <t xml:space="preserve">07 WBS (</t>
    </r>
    <r>
      <rPr>
        <b val="true"/>
        <sz val="15"/>
        <color rgb="FF0B1520"/>
        <rFont val="Noto Sans CJK SC"/>
        <family val="2"/>
      </rPr>
      <t xml:space="preserve">실제 수행 일정</t>
    </r>
    <r>
      <rPr>
        <b val="true"/>
        <sz val="15"/>
        <color rgb="FF0B1520"/>
        <rFont val="맑은 고딕"/>
        <family val="0"/>
        <charset val="1"/>
      </rPr>
      <t xml:space="preserve">)</t>
    </r>
  </si>
  <si>
    <r>
      <rPr>
        <sz val="9"/>
        <color rgb="FF56677A"/>
        <rFont val="Noto Sans CJK SC"/>
        <family val="2"/>
      </rPr>
      <t xml:space="preserve">허브 </t>
    </r>
    <r>
      <rPr>
        <sz val="9"/>
        <color rgb="FF56677A"/>
        <rFont val="맑은 고딕"/>
        <family val="0"/>
        <charset val="1"/>
      </rPr>
      <t xml:space="preserve">AMR </t>
    </r>
    <r>
      <rPr>
        <sz val="9"/>
        <color rgb="FF56677A"/>
        <rFont val="Noto Sans CJK SC"/>
        <family val="2"/>
      </rPr>
      <t xml:space="preserve">디지털 트윈 관제 </t>
    </r>
    <r>
      <rPr>
        <sz val="9"/>
        <color rgb="FF56677A"/>
        <rFont val="맑은 고딕"/>
        <family val="0"/>
        <charset val="1"/>
      </rPr>
      <t xml:space="preserve">(S-CARGO </t>
    </r>
    <r>
      <rPr>
        <sz val="9"/>
        <color rgb="FF56677A"/>
        <rFont val="Noto Sans CJK SC"/>
        <family val="2"/>
      </rPr>
      <t xml:space="preserve">허브 파트 </t>
    </r>
    <r>
      <rPr>
        <sz val="9"/>
        <color rgb="FF56677A"/>
        <rFont val="맑은 고딕"/>
        <family val="0"/>
        <charset val="1"/>
      </rPr>
      <t xml:space="preserve">· 1</t>
    </r>
    <r>
      <rPr>
        <sz val="9"/>
        <color rgb="FF56677A"/>
        <rFont val="Noto Sans CJK SC"/>
        <family val="2"/>
      </rPr>
      <t xml:space="preserve">인 개발</t>
    </r>
    <r>
      <rPr>
        <sz val="9"/>
        <color rgb="FF56677A"/>
        <rFont val="맑은 고딕"/>
        <family val="0"/>
        <charset val="1"/>
      </rPr>
      <t xml:space="preserve">)  ·  </t>
    </r>
    <r>
      <rPr>
        <sz val="9"/>
        <color rgb="FF56677A"/>
        <rFont val="Noto Sans CJK SC"/>
        <family val="2"/>
      </rPr>
      <t xml:space="preserve">일정 근거</t>
    </r>
    <r>
      <rPr>
        <sz val="9"/>
        <color rgb="FF56677A"/>
        <rFont val="맑은 고딕"/>
        <family val="0"/>
        <charset val="1"/>
      </rPr>
      <t xml:space="preserve">: </t>
    </r>
    <r>
      <rPr>
        <sz val="9"/>
        <color rgb="FF56677A"/>
        <rFont val="Noto Sans CJK SC"/>
        <family val="2"/>
      </rPr>
      <t xml:space="preserve">커밋 시각 </t>
    </r>
    <r>
      <rPr>
        <sz val="9"/>
        <color rgb="FF56677A"/>
        <rFont val="맑은 고딕"/>
        <family val="0"/>
        <charset val="1"/>
      </rPr>
      <t xml:space="preserve">· </t>
    </r>
    <r>
      <rPr>
        <sz val="9"/>
        <color rgb="FF56677A"/>
        <rFont val="Noto Sans CJK SC"/>
        <family val="2"/>
      </rPr>
      <t xml:space="preserve">코드 날짜 태그</t>
    </r>
  </si>
  <si>
    <t xml:space="preserve">단계</t>
  </si>
  <si>
    <t xml:space="preserve">작업</t>
  </si>
  <si>
    <t xml:space="preserve">결과물</t>
  </si>
  <si>
    <t xml:space="preserve">시작</t>
  </si>
  <si>
    <t xml:space="preserve">종료</t>
  </si>
  <si>
    <r>
      <rPr>
        <b val="true"/>
        <sz val="10"/>
        <color rgb="FFFFFFFF"/>
        <rFont val="Noto Sans CJK SC"/>
        <family val="2"/>
      </rPr>
      <t xml:space="preserve">기간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</si>
  <si>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진척률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</si>
  <si>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커밋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</si>
  <si>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1</t>
  </si>
  <si>
    <r>
      <rPr>
        <b val="true"/>
        <sz val="9.5"/>
        <rFont val="Noto Sans CJK SC"/>
        <family val="2"/>
      </rPr>
      <t xml:space="preserve">착수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설계</t>
    </r>
  </si>
  <si>
    <t xml:space="preserve">1.1</t>
  </si>
  <si>
    <r>
      <rPr>
        <sz val="9.5"/>
        <rFont val="Noto Sans CJK SC"/>
        <family val="2"/>
      </rPr>
      <t xml:space="preserve">허브 업무 흐름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관제 화면 구성</t>
    </r>
  </si>
  <si>
    <r>
      <rPr>
        <sz val="9.5"/>
        <rFont val="Noto Sans CJK SC"/>
        <family val="2"/>
      </rPr>
      <t xml:space="preserve">입차 → 하차 → 보관 → 출고 → 출차 흐름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관제 화면 배치</t>
    </r>
  </si>
  <si>
    <r>
      <rPr>
        <sz val="9.5"/>
        <rFont val="Noto Sans CJK SC"/>
        <family val="2"/>
      </rPr>
      <t xml:space="preserve">코드 날짜 태그 </t>
    </r>
    <r>
      <rPr>
        <sz val="9.5"/>
        <rFont val="맑은 고딕"/>
        <family val="0"/>
        <charset val="1"/>
      </rPr>
      <t xml:space="preserve">26.10.08</t>
    </r>
  </si>
  <si>
    <t xml:space="preserve">1.2</t>
  </si>
  <si>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설계</t>
    </r>
  </si>
  <si>
    <r>
      <rPr>
        <sz val="9.5"/>
        <rFont val="Noto Sans CJK SC"/>
        <family val="2"/>
      </rPr>
      <t xml:space="preserve">허브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로봇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센서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예측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정비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이벤트 테이블</t>
    </r>
  </si>
  <si>
    <t xml:space="preserve">2</t>
  </si>
  <si>
    <r>
      <rPr>
        <b val="true"/>
        <sz val="9.5"/>
        <rFont val="맑은 고딕"/>
        <family val="0"/>
        <charset val="1"/>
      </rPr>
      <t xml:space="preserve">3D </t>
    </r>
    <r>
      <rPr>
        <b val="true"/>
        <sz val="9.5"/>
        <rFont val="Noto Sans CJK SC"/>
        <family val="2"/>
      </rPr>
      <t xml:space="preserve">디지털 트윈 </t>
    </r>
    <r>
      <rPr>
        <b val="true"/>
        <sz val="9.5"/>
        <rFont val="맑은 고딕"/>
        <family val="0"/>
        <charset val="1"/>
      </rPr>
      <t xml:space="preserve">(</t>
    </r>
    <r>
      <rPr>
        <b val="true"/>
        <sz val="9.5"/>
        <rFont val="Noto Sans CJK SC"/>
        <family val="2"/>
      </rPr>
      <t xml:space="preserve">웹</t>
    </r>
    <r>
      <rPr>
        <b val="true"/>
        <sz val="9.5"/>
        <rFont val="맑은 고딕"/>
        <family val="0"/>
        <charset val="1"/>
      </rPr>
      <t xml:space="preserve">)</t>
    </r>
  </si>
  <si>
    <t xml:space="preserve">2.1</t>
  </si>
  <si>
    <r>
      <rPr>
        <sz val="9.5"/>
        <rFont val="맑은 고딕"/>
        <family val="0"/>
        <charset val="1"/>
      </rPr>
      <t xml:space="preserve">Three.js </t>
    </r>
    <r>
      <rPr>
        <sz val="9.5"/>
        <rFont val="Noto Sans CJK SC"/>
        <family val="2"/>
      </rPr>
      <t xml:space="preserve">허브 모델링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시뮬레이터</t>
    </r>
  </si>
  <si>
    <t xml:space="preserve">amrScene3d.js · amrSim.js</t>
  </si>
  <si>
    <r>
      <rPr>
        <sz val="9.5"/>
        <rFont val="Noto Sans CJK SC"/>
        <family val="2"/>
      </rPr>
      <t xml:space="preserve">팀 저장소 반영 </t>
    </r>
    <r>
      <rPr>
        <sz val="9.5"/>
        <rFont val="맑은 고딕"/>
        <family val="0"/>
        <charset val="1"/>
      </rPr>
      <t xml:space="preserve">e8f0da6</t>
    </r>
  </si>
  <si>
    <t xml:space="preserve">2.2</t>
  </si>
  <si>
    <r>
      <rPr>
        <sz val="9.5"/>
        <rFont val="맑은 고딕"/>
        <family val="0"/>
        <charset val="1"/>
      </rPr>
      <t xml:space="preserve">Vue </t>
    </r>
    <r>
      <rPr>
        <sz val="9.5"/>
        <rFont val="Noto Sans CJK SC"/>
        <family val="2"/>
      </rPr>
      <t xml:space="preserve">관제 화면</t>
    </r>
  </si>
  <si>
    <t xml:space="preserve">AdminAmrTwin.vue · amrTwinApp.js</t>
  </si>
  <si>
    <t xml:space="preserve">3</t>
  </si>
  <si>
    <t xml:space="preserve">3.1</t>
  </si>
  <si>
    <r>
      <rPr>
        <sz val="9.5"/>
        <rFont val="맑은 고딕"/>
        <family val="0"/>
        <charset val="1"/>
      </rPr>
      <t xml:space="preserve">Capacitor </t>
    </r>
    <r>
      <rPr>
        <sz val="9.5"/>
        <rFont val="Noto Sans CJK SC"/>
        <family val="2"/>
      </rPr>
      <t xml:space="preserve">앱 생성</t>
    </r>
  </si>
  <si>
    <t xml:space="preserve">amr-app</t>
  </si>
  <si>
    <t xml:space="preserve">0dec8cb</t>
  </si>
  <si>
    <t xml:space="preserve">3.2</t>
  </si>
  <si>
    <r>
      <rPr>
        <sz val="9.5"/>
        <rFont val="맑은 고딕"/>
        <family val="0"/>
        <charset val="1"/>
      </rPr>
      <t xml:space="preserve">WiFi </t>
    </r>
    <r>
      <rPr>
        <sz val="9.5"/>
        <rFont val="Noto Sans CJK SC"/>
        <family val="2"/>
      </rPr>
      <t xml:space="preserve">서버 연결</t>
    </r>
  </si>
  <si>
    <t xml:space="preserve">CapacitorHttp</t>
  </si>
  <si>
    <t xml:space="preserve">3.3</t>
  </si>
  <si>
    <t xml:space="preserve">앱 화면 정리</t>
  </si>
  <si>
    <r>
      <rPr>
        <sz val="9.5"/>
        <rFont val="Noto Sans CJK SC"/>
        <family val="2"/>
      </rPr>
      <t xml:space="preserve">홈 요약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통계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물류 탭</t>
    </r>
  </si>
  <si>
    <t xml:space="preserve">4</t>
  </si>
  <si>
    <r>
      <rPr>
        <b val="true"/>
        <sz val="9.5"/>
        <rFont val="Noto Sans CJK SC"/>
        <family val="2"/>
      </rPr>
      <t xml:space="preserve">서버 </t>
    </r>
    <r>
      <rPr>
        <b val="true"/>
        <sz val="9.5"/>
        <rFont val="맑은 고딕"/>
        <family val="0"/>
        <charset val="1"/>
      </rPr>
      <t xml:space="preserve">· DB </t>
    </r>
    <r>
      <rPr>
        <b val="true"/>
        <sz val="9.5"/>
        <rFont val="Noto Sans CJK SC"/>
        <family val="2"/>
      </rPr>
      <t xml:space="preserve">연동</t>
    </r>
  </si>
  <si>
    <t xml:space="preserve">4.1</t>
  </si>
  <si>
    <r>
      <rPr>
        <sz val="9.5"/>
        <rFont val="맑은 고딕"/>
        <family val="0"/>
        <charset val="1"/>
      </rPr>
      <t xml:space="preserve">AMR REST API · </t>
    </r>
    <r>
      <rPr>
        <sz val="9.5"/>
        <rFont val="Noto Sans CJK SC"/>
        <family val="2"/>
      </rPr>
      <t xml:space="preserve">엔티티</t>
    </r>
  </si>
  <si>
    <r>
      <rPr>
        <sz val="9.5"/>
        <rFont val="맑은 고딕"/>
        <family val="0"/>
        <charset val="1"/>
      </rPr>
      <t xml:space="preserve">/api/amr · </t>
    </r>
    <r>
      <rPr>
        <sz val="9.5"/>
        <rFont val="Noto Sans CJK SC"/>
        <family val="2"/>
      </rPr>
      <t xml:space="preserve">엔티티 </t>
    </r>
    <r>
      <rPr>
        <sz val="9.5"/>
        <rFont val="맑은 고딕"/>
        <family val="0"/>
        <charset val="1"/>
      </rPr>
      <t xml:space="preserve">7</t>
    </r>
    <r>
      <rPr>
        <sz val="9.5"/>
        <rFont val="Noto Sans CJK SC"/>
        <family val="2"/>
      </rPr>
      <t xml:space="preserve">개</t>
    </r>
  </si>
  <si>
    <t xml:space="preserve">4.2</t>
  </si>
  <si>
    <r>
      <rPr>
        <sz val="9.5"/>
        <rFont val="Noto Sans CJK SC"/>
        <family val="2"/>
      </rPr>
      <t xml:space="preserve">운영 기준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자동 정비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충전</t>
    </r>
  </si>
  <si>
    <t xml:space="preserve">amr_settings</t>
  </si>
  <si>
    <t xml:space="preserve">5</t>
  </si>
  <si>
    <r>
      <rPr>
        <b val="true"/>
        <sz val="9.5"/>
        <rFont val="맑은 고딕"/>
        <family val="0"/>
        <charset val="1"/>
      </rPr>
      <t xml:space="preserve">OCR · </t>
    </r>
    <r>
      <rPr>
        <b val="true"/>
        <sz val="9.5"/>
        <rFont val="Noto Sans CJK SC"/>
        <family val="2"/>
      </rPr>
      <t xml:space="preserve">바코드</t>
    </r>
  </si>
  <si>
    <t xml:space="preserve">5.1</t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</si>
  <si>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서버 허브 연동</t>
    </r>
  </si>
  <si>
    <t xml:space="preserve">gate_api.py /hub/scan</t>
  </si>
  <si>
    <t xml:space="preserve">5.2</t>
  </si>
  <si>
    <r>
      <rPr>
        <sz val="9.5"/>
        <rFont val="Noto Sans CJK SC"/>
        <family val="2"/>
      </rPr>
      <t xml:space="preserve">차량 판정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입출차 기록</t>
    </r>
  </si>
  <si>
    <t xml:space="preserve">hub_vehicles · hub_vehicle_logs</t>
  </si>
  <si>
    <t xml:space="preserve">5.3</t>
  </si>
  <si>
    <r>
      <rPr>
        <sz val="9.5"/>
        <rFont val="Noto Sans CJK SC"/>
        <family val="2"/>
      </rPr>
      <t xml:space="preserve">바코드 표시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목록</t>
    </r>
  </si>
  <si>
    <t xml:space="preserve">a271183, b330d6e, bfadf51</t>
  </si>
  <si>
    <t xml:space="preserve">5.4</t>
  </si>
  <si>
    <r>
      <rPr>
        <sz val="9.5"/>
        <rFont val="Noto Sans CJK SC"/>
        <family val="2"/>
      </rPr>
      <t xml:space="preserve">입차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화면 연출</t>
    </r>
  </si>
  <si>
    <r>
      <rPr>
        <sz val="9.5"/>
        <rFont val="Noto Sans CJK SC"/>
        <family val="2"/>
      </rPr>
      <t xml:space="preserve">게이트 정지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스캔 빛</t>
    </r>
  </si>
  <si>
    <t xml:space="preserve">059165e</t>
  </si>
  <si>
    <t xml:space="preserve">6</t>
  </si>
  <si>
    <t xml:space="preserve">운영 고도화</t>
  </si>
  <si>
    <t xml:space="preserve">6.1</t>
  </si>
  <si>
    <t xml:space="preserve">교차로 예약</t>
  </si>
  <si>
    <r>
      <rPr>
        <sz val="9.5"/>
        <rFont val="Noto Sans CJK SC"/>
        <family val="2"/>
      </rPr>
      <t xml:space="preserve">겹침 </t>
    </r>
    <r>
      <rPr>
        <sz val="9.5"/>
        <rFont val="맑은 고딕"/>
        <family val="0"/>
        <charset val="1"/>
      </rPr>
      <t xml:space="preserve">41 → 0</t>
    </r>
  </si>
  <si>
    <t xml:space="preserve">6.2</t>
  </si>
  <si>
    <t xml:space="preserve">amr_task_logs · /kpi</t>
  </si>
  <si>
    <t xml:space="preserve">6.3</t>
  </si>
  <si>
    <r>
      <rPr>
        <sz val="9.5"/>
        <rFont val="Noto Sans CJK SC"/>
        <family val="2"/>
      </rPr>
      <t xml:space="preserve">지도 조작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바로가기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게이트 자동</t>
    </r>
  </si>
  <si>
    <r>
      <rPr>
        <sz val="9.5"/>
        <rFont val="맑은 고딕"/>
        <family val="0"/>
        <charset val="1"/>
      </rPr>
      <t xml:space="preserve">OrbitControls </t>
    </r>
    <r>
      <rPr>
        <sz val="9.5"/>
        <rFont val="Noto Sans CJK SC"/>
        <family val="2"/>
      </rPr>
      <t xml:space="preserve">지도 방식</t>
    </r>
  </si>
  <si>
    <t xml:space="preserve">6.4</t>
  </si>
  <si>
    <r>
      <rPr>
        <sz val="9.5"/>
        <rFont val="Noto Sans CJK SC"/>
        <family val="2"/>
      </rPr>
      <t xml:space="preserve">할 일 카드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휴대폰 알림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우선순위</t>
    </r>
  </si>
  <si>
    <t xml:space="preserve">LocalNotifications</t>
  </si>
  <si>
    <t xml:space="preserve">7</t>
  </si>
  <si>
    <t xml:space="preserve">7.1</t>
  </si>
  <si>
    <r>
      <rPr>
        <sz val="9.5"/>
        <rFont val="Noto Sans CJK SC"/>
        <family val="2"/>
      </rPr>
      <t xml:space="preserve">관리자 앱 인증 </t>
    </r>
    <r>
      <rPr>
        <sz val="9.5"/>
        <rFont val="맑은 고딕"/>
        <family val="0"/>
        <charset val="1"/>
      </rPr>
      <t xml:space="preserve">(QR · 6</t>
    </r>
    <r>
      <rPr>
        <sz val="9.5"/>
        <rFont val="Noto Sans CJK SC"/>
        <family val="2"/>
      </rPr>
      <t xml:space="preserve">자리</t>
    </r>
    <r>
      <rPr>
        <sz val="9.5"/>
        <rFont val="맑은 고딕"/>
        <family val="0"/>
        <charset val="1"/>
      </rPr>
      <t xml:space="preserve">)</t>
    </r>
  </si>
  <si>
    <t xml:space="preserve">amr_otp_keys · amr_auth_tokens</t>
  </si>
  <si>
    <t xml:space="preserve">7.2</t>
  </si>
  <si>
    <t xml:space="preserve">인식 사진 백엔드 경유</t>
  </si>
  <si>
    <t xml:space="preserve">/vehicles/{id}/photo</t>
  </si>
  <si>
    <t xml:space="preserve">4a2de28</t>
  </si>
  <si>
    <t xml:space="preserve">8</t>
  </si>
  <si>
    <t xml:space="preserve">테스트</t>
  </si>
  <si>
    <t xml:space="preserve">8.1</t>
  </si>
  <si>
    <t xml:space="preserve">단위 테스트</t>
  </si>
  <si>
    <r>
      <rPr>
        <sz val="9.5"/>
        <rFont val="맑은 고딕"/>
        <family val="0"/>
        <charset val="1"/>
      </rPr>
      <t xml:space="preserve">TOTP · QR · </t>
    </r>
    <r>
      <rPr>
        <sz val="9.5"/>
        <rFont val="Noto Sans CJK SC"/>
        <family val="2"/>
      </rPr>
      <t xml:space="preserve">교차로 시뮬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컴파일</t>
    </r>
  </si>
  <si>
    <r>
      <rPr>
        <sz val="9.5"/>
        <rFont val="맑은 고딕"/>
        <family val="0"/>
        <charset val="1"/>
      </rPr>
      <t xml:space="preserve">15 </t>
    </r>
    <r>
      <rPr>
        <sz val="9.5"/>
        <rFont val="Noto Sans CJK SC"/>
        <family val="2"/>
      </rPr>
      <t xml:space="preserve">시트 참고</t>
    </r>
  </si>
  <si>
    <t xml:space="preserve">8.2</t>
  </si>
  <si>
    <t xml:space="preserve">통합 테스트</t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</si>
  <si>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흐름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목업 서버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브라우저</t>
    </r>
    <r>
      <rPr>
        <sz val="9.5"/>
        <rFont val="맑은 고딕"/>
        <family val="0"/>
        <charset val="1"/>
      </rPr>
      <t xml:space="preserve">)</t>
    </r>
  </si>
  <si>
    <t xml:space="preserve">8.3</t>
  </si>
  <si>
    <t xml:space="preserve">실기기 확인</t>
  </si>
  <si>
    <r>
      <rPr>
        <sz val="9.5"/>
        <rFont val="Noto Sans CJK SC"/>
        <family val="2"/>
      </rPr>
      <t xml:space="preserve">노트북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휴대폰에서 직접 확인</t>
    </r>
  </si>
  <si>
    <t xml:space="preserve">9</t>
  </si>
  <si>
    <r>
      <rPr>
        <b val="true"/>
        <sz val="9.5"/>
        <rFont val="Noto Sans CJK SC"/>
        <family val="2"/>
      </rPr>
      <t xml:space="preserve">문서 </t>
    </r>
    <r>
      <rPr>
        <b val="true"/>
        <sz val="9.5"/>
        <rFont val="맑은 고딕"/>
        <family val="0"/>
        <charset val="1"/>
      </rPr>
      <t xml:space="preserve">· </t>
    </r>
    <r>
      <rPr>
        <b val="true"/>
        <sz val="9.5"/>
        <rFont val="Noto Sans CJK SC"/>
        <family val="2"/>
      </rPr>
      <t xml:space="preserve">발표</t>
    </r>
  </si>
  <si>
    <t xml:space="preserve">9.1</t>
  </si>
  <si>
    <r>
      <rPr>
        <sz val="9.5"/>
        <rFont val="Noto Sans CJK SC"/>
        <family val="2"/>
      </rPr>
      <t xml:space="preserve">기술 정리 </t>
    </r>
    <r>
      <rPr>
        <sz val="9.5"/>
        <rFont val="맑은 고딕"/>
        <family val="0"/>
        <charset val="1"/>
      </rPr>
      <t xml:space="preserve">PPT</t>
    </r>
  </si>
  <si>
    <r>
      <rPr>
        <sz val="9.5"/>
        <rFont val="맑은 고딕"/>
        <family val="0"/>
        <charset val="1"/>
      </rPr>
      <t xml:space="preserve">AMR_</t>
    </r>
    <r>
      <rPr>
        <sz val="9.5"/>
        <rFont val="Noto Sans CJK SC"/>
        <family val="2"/>
      </rPr>
      <t xml:space="preserve">디지털트윈</t>
    </r>
    <r>
      <rPr>
        <sz val="9.5"/>
        <rFont val="맑은 고딕"/>
        <family val="0"/>
        <charset val="1"/>
      </rPr>
      <t xml:space="preserve">_</t>
    </r>
    <r>
      <rPr>
        <sz val="9.5"/>
        <rFont val="Noto Sans CJK SC"/>
        <family val="2"/>
      </rPr>
      <t xml:space="preserve">기술정리 → </t>
    </r>
    <r>
      <rPr>
        <sz val="9.5"/>
        <rFont val="맑은 고딕"/>
        <family val="0"/>
        <charset val="1"/>
      </rPr>
      <t xml:space="preserve">AMR_</t>
    </r>
    <r>
      <rPr>
        <sz val="9.5"/>
        <rFont val="Noto Sans CJK SC"/>
        <family val="2"/>
      </rPr>
      <t xml:space="preserve">허브</t>
    </r>
    <r>
      <rPr>
        <sz val="9.5"/>
        <rFont val="맑은 고딕"/>
        <family val="0"/>
        <charset val="1"/>
      </rPr>
      <t xml:space="preserve">_</t>
    </r>
    <r>
      <rPr>
        <sz val="9.5"/>
        <rFont val="Noto Sans CJK SC"/>
        <family val="2"/>
      </rPr>
      <t xml:space="preserve">기술정리</t>
    </r>
  </si>
  <si>
    <t xml:space="preserve">9.2</t>
  </si>
  <si>
    <r>
      <rPr>
        <sz val="9.5"/>
        <rFont val="Noto Sans CJK SC"/>
        <family val="2"/>
      </rPr>
      <t xml:space="preserve">기술설명서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포트폴리오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핵심기능 </t>
    </r>
    <r>
      <rPr>
        <sz val="9.5"/>
        <rFont val="맑은 고딕"/>
        <family val="0"/>
        <charset val="1"/>
      </rPr>
      <t xml:space="preserve">PPT</t>
    </r>
  </si>
  <si>
    <r>
      <rPr>
        <sz val="9.5"/>
        <rFont val="Noto Sans CJK SC"/>
        <family val="2"/>
      </rPr>
      <t xml:space="preserve">문서 폴더 </t>
    </r>
    <r>
      <rPr>
        <sz val="9.5"/>
        <rFont val="맑은 고딕"/>
        <family val="0"/>
        <charset val="1"/>
      </rPr>
      <t xml:space="preserve">PPT 3</t>
    </r>
    <r>
      <rPr>
        <sz val="9.5"/>
        <rFont val="Noto Sans CJK SC"/>
        <family val="2"/>
      </rPr>
      <t xml:space="preserve">개</t>
    </r>
  </si>
  <si>
    <t xml:space="preserve">9.3</t>
  </si>
  <si>
    <r>
      <rPr>
        <sz val="9.5"/>
        <rFont val="Noto Sans CJK SC"/>
        <family val="2"/>
      </rPr>
      <t xml:space="preserve">연결 키트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산출물 문서</t>
    </r>
  </si>
  <si>
    <r>
      <rPr>
        <sz val="9.5"/>
        <rFont val="맑은 고딕"/>
        <family val="0"/>
        <charset val="1"/>
      </rPr>
      <t xml:space="preserve">5_</t>
    </r>
    <r>
      <rPr>
        <sz val="9.5"/>
        <rFont val="Noto Sans CJK SC"/>
        <family val="2"/>
      </rPr>
      <t xml:space="preserve">연결키트</t>
    </r>
    <r>
      <rPr>
        <sz val="9.5"/>
        <rFont val="맑은 고딕"/>
        <family val="0"/>
        <charset val="1"/>
      </rPr>
      <t xml:space="preserve">_</t>
    </r>
    <r>
      <rPr>
        <sz val="9.5"/>
        <rFont val="Noto Sans CJK SC"/>
        <family val="2"/>
      </rPr>
      <t xml:space="preserve">만들기</t>
    </r>
    <r>
      <rPr>
        <sz val="9.5"/>
        <rFont val="맑은 고딕"/>
        <family val="0"/>
        <charset val="1"/>
      </rPr>
      <t xml:space="preserve">.bat · </t>
    </r>
    <r>
      <rPr>
        <sz val="9.5"/>
        <rFont val="Noto Sans CJK SC"/>
        <family val="2"/>
      </rPr>
      <t xml:space="preserve">이 문서</t>
    </r>
  </si>
  <si>
    <r>
      <rPr>
        <b val="true"/>
        <sz val="11"/>
        <rFont val="Noto Sans CJK SC"/>
        <family val="2"/>
      </rPr>
      <t xml:space="preserve">전체 기간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일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</si>
  <si>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5"/>
        <color rgb="FF0B1520"/>
        <rFont val="맑은 고딕"/>
        <family val="0"/>
        <charset val="1"/>
      </rPr>
      <t xml:space="preserve">08 </t>
    </r>
    <r>
      <rPr>
        <b val="true"/>
        <sz val="15"/>
        <color rgb="FF0B1520"/>
        <rFont val="Noto Sans CJK SC"/>
        <family val="2"/>
      </rPr>
      <t xml:space="preserve">주간보고</t>
    </r>
  </si>
  <si>
    <r>
      <rPr>
        <sz val="9"/>
        <color rgb="FF56677A"/>
        <rFont val="Noto Sans CJK SC"/>
        <family val="2"/>
      </rPr>
      <t xml:space="preserve">허브 </t>
    </r>
    <r>
      <rPr>
        <sz val="9"/>
        <color rgb="FF56677A"/>
        <rFont val="맑은 고딕"/>
        <family val="0"/>
        <charset val="1"/>
      </rPr>
      <t xml:space="preserve">AMR </t>
    </r>
    <r>
      <rPr>
        <sz val="9"/>
        <color rgb="FF56677A"/>
        <rFont val="Noto Sans CJK SC"/>
        <family val="2"/>
      </rPr>
      <t xml:space="preserve">디지털 트윈 관제 </t>
    </r>
    <r>
      <rPr>
        <sz val="9"/>
        <color rgb="FF56677A"/>
        <rFont val="맑은 고딕"/>
        <family val="0"/>
        <charset val="1"/>
      </rPr>
      <t xml:space="preserve">(S-CARGO </t>
    </r>
    <r>
      <rPr>
        <sz val="9"/>
        <color rgb="FF56677A"/>
        <rFont val="Noto Sans CJK SC"/>
        <family val="2"/>
      </rPr>
      <t xml:space="preserve">허브 파트 </t>
    </r>
    <r>
      <rPr>
        <sz val="9"/>
        <color rgb="FF56677A"/>
        <rFont val="맑은 고딕"/>
        <family val="0"/>
        <charset val="1"/>
      </rPr>
      <t xml:space="preserve">· 1</t>
    </r>
    <r>
      <rPr>
        <sz val="9"/>
        <color rgb="FF56677A"/>
        <rFont val="Noto Sans CJK SC"/>
        <family val="2"/>
      </rPr>
      <t xml:space="preserve">인 개발</t>
    </r>
    <r>
      <rPr>
        <sz val="9"/>
        <color rgb="FF56677A"/>
        <rFont val="맑은 고딕"/>
        <family val="0"/>
        <charset val="1"/>
      </rPr>
      <t xml:space="preserve">)  ·  </t>
    </r>
    <r>
      <rPr>
        <sz val="9"/>
        <color rgb="FF56677A"/>
        <rFont val="Noto Sans CJK SC"/>
        <family val="2"/>
      </rPr>
      <t xml:space="preserve">당시 작성본이 없어 커밋 기록으로 주차별 재구성</t>
    </r>
  </si>
  <si>
    <t xml:space="preserve">주차</t>
  </si>
  <si>
    <t xml:space="preserve">기간</t>
  </si>
  <si>
    <t xml:space="preserve">금주 실적</t>
  </si>
  <si>
    <t xml:space="preserve">차주 계획</t>
  </si>
  <si>
    <r>
      <rPr>
        <b val="true"/>
        <sz val="10"/>
        <color rgb="FFFFFFFF"/>
        <rFont val="Noto Sans CJK SC"/>
        <family val="2"/>
      </rPr>
      <t xml:space="preserve">이슈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해결</t>
    </r>
  </si>
  <si>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주차</t>
    </r>
  </si>
  <si>
    <t xml:space="preserve">2026-10-05 ~ 10-09</t>
  </si>
  <si>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허브 </t>
    </r>
    <r>
      <rPr>
        <sz val="9.5"/>
        <rFont val="맑은 고딕"/>
        <family val="0"/>
        <charset val="1"/>
      </rPr>
      <t xml:space="preserve">AMR 3D </t>
    </r>
    <r>
      <rPr>
        <sz val="9.5"/>
        <rFont val="Noto Sans CJK SC"/>
        <family val="2"/>
      </rPr>
      <t xml:space="preserve">디지털 트윈 웹 화면 착수 </t>
    </r>
    <r>
      <rPr>
        <sz val="9.5"/>
        <rFont val="맑은 고딕"/>
        <family val="0"/>
        <charset val="1"/>
      </rPr>
      <t xml:space="preserve">(10/08)
· Three.js </t>
    </r>
    <r>
      <rPr>
        <sz val="9.5"/>
        <rFont val="Noto Sans CJK SC"/>
        <family val="2"/>
      </rPr>
      <t xml:space="preserve">허브 모델링 </t>
    </r>
    <r>
      <rPr>
        <sz val="9.5"/>
        <rFont val="맑은 고딕"/>
        <family val="0"/>
        <charset val="1"/>
      </rPr>
      <t xml:space="preserve">· AMR </t>
    </r>
    <r>
      <rPr>
        <sz val="9.5"/>
        <rFont val="Noto Sans CJK SC"/>
        <family val="2"/>
      </rPr>
      <t xml:space="preserve">시뮬레이터 작성
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관리자 앱</t>
    </r>
    <r>
      <rPr>
        <sz val="9.5"/>
        <rFont val="맑은 고딕"/>
        <family val="0"/>
        <charset val="1"/>
      </rPr>
      <t xml:space="preserve">(Capacitor) </t>
    </r>
    <r>
      <rPr>
        <sz val="9.5"/>
        <rFont val="Noto Sans CJK SC"/>
        <family val="2"/>
      </rPr>
      <t xml:space="preserve">생성 </t>
    </r>
    <r>
      <rPr>
        <sz val="9.5"/>
        <rFont val="맑은 고딕"/>
        <family val="0"/>
        <charset val="1"/>
      </rPr>
      <t xml:space="preserve">(10/09)
· </t>
    </r>
    <r>
      <rPr>
        <sz val="9.5"/>
        <rFont val="Noto Sans CJK SC"/>
        <family val="2"/>
      </rPr>
      <t xml:space="preserve">디지털 트윈 기술 정리 </t>
    </r>
    <r>
      <rPr>
        <sz val="9.5"/>
        <rFont val="맑은 고딕"/>
        <family val="0"/>
        <charset val="1"/>
      </rPr>
      <t xml:space="preserve">PPT </t>
    </r>
    <r>
      <rPr>
        <sz val="9.5"/>
        <rFont val="Noto Sans CJK SC"/>
        <family val="2"/>
      </rPr>
      <t xml:space="preserve">작성 </t>
    </r>
    <r>
      <rPr>
        <sz val="9.5"/>
        <rFont val="맑은 고딕"/>
        <family val="0"/>
        <charset val="1"/>
      </rPr>
      <t xml:space="preserve">(10/09)</t>
    </r>
  </si>
  <si>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팀 저장소에 </t>
    </r>
    <r>
      <rPr>
        <sz val="9.5"/>
        <rFont val="맑은 고딕"/>
        <family val="0"/>
        <charset val="1"/>
      </rPr>
      <t xml:space="preserve">AMR </t>
    </r>
    <r>
      <rPr>
        <sz val="9.5"/>
        <rFont val="Noto Sans CJK SC"/>
        <family val="2"/>
      </rPr>
      <t xml:space="preserve">코드 통합
</t>
    </r>
    <r>
      <rPr>
        <sz val="9.5"/>
        <rFont val="맑은 고딕"/>
        <family val="0"/>
        <charset val="1"/>
      </rPr>
      <t xml:space="preserve">· DB </t>
    </r>
    <r>
      <rPr>
        <sz val="9.5"/>
        <rFont val="Noto Sans CJK SC"/>
        <family val="2"/>
      </rPr>
      <t xml:space="preserve">연동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센서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예측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정비</t>
    </r>
    <r>
      <rPr>
        <sz val="9.5"/>
        <rFont val="맑은 고딕"/>
        <family val="0"/>
        <charset val="1"/>
      </rPr>
      <t xml:space="preserve">)
· </t>
    </r>
    <r>
      <rPr>
        <sz val="9.5"/>
        <rFont val="Noto Sans CJK SC"/>
        <family val="2"/>
      </rPr>
      <t xml:space="preserve">앱과 노트북 서버 연결</t>
    </r>
  </si>
  <si>
    <r>
      <rPr>
        <sz val="9.5"/>
        <rFont val="맑은 고딕"/>
        <family val="0"/>
        <charset val="1"/>
      </rPr>
      <t xml:space="preserve">· (</t>
    </r>
    <r>
      <rPr>
        <sz val="9.5"/>
        <rFont val="Noto Sans CJK SC"/>
        <family val="2"/>
      </rPr>
      <t xml:space="preserve">기록 없음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</si>
  <si>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맑은 고딕"/>
        <family val="0"/>
        <charset val="1"/>
      </rPr>
      <t xml:space="preserve">2</t>
    </r>
    <r>
      <rPr>
        <sz val="9.5"/>
        <rFont val="Noto Sans CJK SC"/>
        <family val="2"/>
      </rPr>
      <t xml:space="preserve">주차</t>
    </r>
  </si>
  <si>
    <t xml:space="preserve">2026-10-12 ~ 10-16</t>
  </si>
  <si>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팀 저장소 통합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관리자 앱 병합 </t>
    </r>
    <r>
      <rPr>
        <sz val="9.5"/>
        <rFont val="맑은 고딕"/>
        <family val="0"/>
        <charset val="1"/>
      </rPr>
      <t xml:space="preserve">(10/13)
· DB </t>
    </r>
    <r>
      <rPr>
        <sz val="9.5"/>
        <rFont val="Noto Sans CJK SC"/>
        <family val="2"/>
      </rPr>
      <t xml:space="preserve">연동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웹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앱 정비 승인 연동 </t>
    </r>
    <r>
      <rPr>
        <sz val="9.5"/>
        <rFont val="맑은 고딕"/>
        <family val="0"/>
        <charset val="1"/>
      </rPr>
      <t xml:space="preserve">(10/14)
· </t>
    </r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WiFi </t>
    </r>
    <r>
      <rPr>
        <sz val="9.5"/>
        <rFont val="Noto Sans CJK SC"/>
        <family val="2"/>
      </rPr>
      <t xml:space="preserve">연결 </t>
    </r>
    <r>
      <rPr>
        <sz val="9.5"/>
        <rFont val="맑은 고딕"/>
        <family val="0"/>
        <charset val="1"/>
      </rPr>
      <t xml:space="preserve">(CapacitorHttp, 10/14)
· </t>
    </r>
    <r>
      <rPr>
        <sz val="9.5"/>
        <rFont val="Noto Sans CJK SC"/>
        <family val="2"/>
      </rPr>
      <t xml:space="preserve">운영 기준 설정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자동 정비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충전 </t>
    </r>
    <r>
      <rPr>
        <sz val="9.5"/>
        <rFont val="맑은 고딕"/>
        <family val="0"/>
        <charset val="1"/>
      </rPr>
      <t xml:space="preserve">(10/15)
· </t>
    </r>
    <r>
      <rPr>
        <sz val="9.5"/>
        <rFont val="Noto Sans CJK SC"/>
        <family val="2"/>
      </rPr>
      <t xml:space="preserve">입구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출구 번호판 </t>
    </r>
    <r>
      <rPr>
        <sz val="9.5"/>
        <rFont val="맑은 고딕"/>
        <family val="0"/>
        <charset val="1"/>
      </rPr>
      <t xml:space="preserve">OCR · DB </t>
    </r>
    <r>
      <rPr>
        <sz val="9.5"/>
        <rFont val="Noto Sans CJK SC"/>
        <family val="2"/>
      </rPr>
      <t xml:space="preserve">차량 판정 </t>
    </r>
    <r>
      <rPr>
        <sz val="9.5"/>
        <rFont val="맑은 고딕"/>
        <family val="0"/>
        <charset val="1"/>
      </rPr>
      <t xml:space="preserve">· EAN-13 </t>
    </r>
    <r>
      <rPr>
        <sz val="9.5"/>
        <rFont val="Noto Sans CJK SC"/>
        <family val="2"/>
      </rPr>
      <t xml:space="preserve">바코드 </t>
    </r>
    <r>
      <rPr>
        <sz val="9.5"/>
        <rFont val="맑은 고딕"/>
        <family val="0"/>
        <charset val="1"/>
      </rPr>
      <t xml:space="preserve">(10/15)
· </t>
    </r>
    <r>
      <rPr>
        <sz val="9.5"/>
        <rFont val="Noto Sans CJK SC"/>
        <family val="2"/>
      </rPr>
      <t xml:space="preserve">교차로 예약 </t>
    </r>
    <r>
      <rPr>
        <sz val="9.5"/>
        <rFont val="맑은 고딕"/>
        <family val="0"/>
        <charset val="1"/>
      </rPr>
      <t xml:space="preserve">· KPI </t>
    </r>
    <r>
      <rPr>
        <sz val="9.5"/>
        <rFont val="Noto Sans CJK SC"/>
        <family val="2"/>
      </rPr>
      <t xml:space="preserve">통계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화면 정리 </t>
    </r>
    <r>
      <rPr>
        <sz val="9.5"/>
        <rFont val="맑은 고딕"/>
        <family val="0"/>
        <charset val="1"/>
      </rPr>
      <t xml:space="preserve">(10/15)
· </t>
    </r>
    <r>
      <rPr>
        <sz val="9.5"/>
        <rFont val="Noto Sans CJK SC"/>
        <family val="2"/>
      </rPr>
      <t xml:space="preserve">지도식 조작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게이트 자동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휴대폰 알림 </t>
    </r>
    <r>
      <rPr>
        <sz val="9.5"/>
        <rFont val="맑은 고딕"/>
        <family val="0"/>
        <charset val="1"/>
      </rPr>
      <t xml:space="preserve">(10/15~16)
· </t>
    </r>
    <r>
      <rPr>
        <sz val="9.5"/>
        <rFont val="Noto Sans CJK SC"/>
        <family val="2"/>
      </rPr>
      <t xml:space="preserve">관리자 앱 인증 </t>
    </r>
    <r>
      <rPr>
        <sz val="9.5"/>
        <rFont val="맑은 고딕"/>
        <family val="0"/>
        <charset val="1"/>
      </rPr>
      <t xml:space="preserve">(QR · 6</t>
    </r>
    <r>
      <rPr>
        <sz val="9.5"/>
        <rFont val="Noto Sans CJK SC"/>
        <family val="2"/>
      </rPr>
      <t xml:space="preserve">자리</t>
    </r>
    <r>
      <rPr>
        <sz val="9.5"/>
        <rFont val="맑은 고딕"/>
        <family val="0"/>
        <charset val="1"/>
      </rPr>
      <t xml:space="preserve">, 10/16)
· </t>
    </r>
    <r>
      <rPr>
        <sz val="9.5"/>
        <rFont val="Noto Sans CJK SC"/>
        <family val="2"/>
      </rPr>
      <t xml:space="preserve">알림 우선순위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인식 사진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연결 키트 </t>
    </r>
    <r>
      <rPr>
        <sz val="9.5"/>
        <rFont val="맑은 고딕"/>
        <family val="0"/>
        <charset val="1"/>
      </rPr>
      <t xml:space="preserve">(10/16)
· </t>
    </r>
    <r>
      <rPr>
        <sz val="9.5"/>
        <rFont val="Noto Sans CJK SC"/>
        <family val="2"/>
      </rPr>
      <t xml:space="preserve">기술설명서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포트폴리오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핵심기능 </t>
    </r>
    <r>
      <rPr>
        <sz val="9.5"/>
        <rFont val="맑은 고딕"/>
        <family val="0"/>
        <charset val="1"/>
      </rPr>
      <t xml:space="preserve">PPT (10/15~16)</t>
    </r>
  </si>
  <si>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실기기 최종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표시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사진</t>
    </r>
    <r>
      <rPr>
        <sz val="9.5"/>
        <rFont val="맑은 고딕"/>
        <family val="0"/>
        <charset val="1"/>
      </rPr>
      <t xml:space="preserve">)
· GitHub </t>
    </r>
    <r>
      <rPr>
        <sz val="9.5"/>
        <rFont val="Noto Sans CJK SC"/>
        <family val="2"/>
      </rPr>
      <t xml:space="preserve">업로드
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시연 순서 연습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실제 화면 캡처로 </t>
    </r>
    <r>
      <rPr>
        <sz val="9.5"/>
        <rFont val="맑은 고딕"/>
        <family val="0"/>
        <charset val="1"/>
      </rPr>
      <t xml:space="preserve">PPT </t>
    </r>
    <r>
      <rPr>
        <sz val="9.5"/>
        <rFont val="Noto Sans CJK SC"/>
        <family val="2"/>
      </rPr>
      <t xml:space="preserve">그림 교체</t>
    </r>
  </si>
  <si>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앱만 </t>
    </r>
    <r>
      <rPr>
        <sz val="9.5"/>
        <rFont val="맑은 고딕"/>
        <family val="0"/>
        <charset val="1"/>
      </rPr>
      <t xml:space="preserve">WiFi </t>
    </r>
    <r>
      <rPr>
        <sz val="9.5"/>
        <rFont val="Noto Sans CJK SC"/>
        <family val="2"/>
      </rPr>
      <t xml:space="preserve">서버 연결 실패 → </t>
    </r>
    <r>
      <rPr>
        <sz val="9.5"/>
        <rFont val="맑은 고딕"/>
        <family val="0"/>
        <charset val="1"/>
      </rPr>
      <t xml:space="preserve">CapacitorHttp</t>
    </r>
    <r>
      <rPr>
        <sz val="9.5"/>
        <rFont val="Noto Sans CJK SC"/>
        <family val="2"/>
      </rPr>
      <t xml:space="preserve">로 해결
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교차로 로봇 겹침 → 교차로 예약으로 </t>
    </r>
    <r>
      <rPr>
        <sz val="9.5"/>
        <rFont val="맑은 고딕"/>
        <family val="0"/>
        <charset val="1"/>
      </rPr>
      <t xml:space="preserve">41 → 0
· </t>
    </r>
    <r>
      <rPr>
        <sz val="9.5"/>
        <rFont val="Noto Sans CJK SC"/>
        <family val="2"/>
      </rPr>
      <t xml:space="preserve">입차 인식이 나갈 때처럼 보임 → 게이트 위치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최소 정지 </t>
    </r>
    <r>
      <rPr>
        <sz val="9.5"/>
        <rFont val="맑은 고딕"/>
        <family val="0"/>
        <charset val="1"/>
      </rPr>
      <t xml:space="preserve">2.5</t>
    </r>
    <r>
      <rPr>
        <sz val="9.5"/>
        <rFont val="Noto Sans CJK SC"/>
        <family val="2"/>
      </rPr>
      <t xml:space="preserve">초
</t>
    </r>
    <r>
      <rPr>
        <sz val="9.5"/>
        <rFont val="맑은 고딕"/>
        <family val="0"/>
        <charset val="1"/>
      </rPr>
      <t xml:space="preserve">· OCR </t>
    </r>
    <r>
      <rPr>
        <sz val="9.5"/>
        <rFont val="Noto Sans CJK SC"/>
        <family val="2"/>
      </rPr>
      <t xml:space="preserve">서버 실행 실패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파이썬 </t>
    </r>
    <r>
      <rPr>
        <sz val="9.5"/>
        <rFont val="맑은 고딕"/>
        <family val="0"/>
        <charset val="1"/>
      </rPr>
      <t xml:space="preserve">3.14) → </t>
    </r>
    <r>
      <rPr>
        <sz val="9.5"/>
        <rFont val="Noto Sans CJK SC"/>
        <family val="2"/>
      </rPr>
      <t xml:space="preserve">아나콘다 환경 자동 탐색
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사진 안 보임</t>
    </r>
    <r>
      <rPr>
        <sz val="9.5"/>
        <rFont val="맑은 고딕"/>
        <family val="0"/>
        <charset val="1"/>
      </rPr>
      <t xml:space="preserve">(8001 </t>
    </r>
    <r>
      <rPr>
        <sz val="9.5"/>
        <rFont val="Noto Sans CJK SC"/>
        <family val="2"/>
      </rPr>
      <t xml:space="preserve">차단</t>
    </r>
    <r>
      <rPr>
        <sz val="9.5"/>
        <rFont val="맑은 고딕"/>
        <family val="0"/>
        <charset val="1"/>
      </rPr>
      <t xml:space="preserve">) → </t>
    </r>
    <r>
      <rPr>
        <sz val="9.5"/>
        <rFont val="Noto Sans CJK SC"/>
        <family val="2"/>
      </rPr>
      <t xml:space="preserve">백엔드 경유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예비 경로</t>
    </r>
  </si>
  <si>
    <r>
      <rPr>
        <b val="true"/>
        <sz val="15"/>
        <color rgb="FF0B1520"/>
        <rFont val="맑은 고딕"/>
        <family val="0"/>
        <charset val="1"/>
      </rPr>
      <t xml:space="preserve">11 DB </t>
    </r>
    <r>
      <rPr>
        <b val="true"/>
        <sz val="15"/>
        <color rgb="FF0B1520"/>
        <rFont val="Noto Sans CJK SC"/>
        <family val="2"/>
      </rPr>
      <t xml:space="preserve">정의서 </t>
    </r>
    <r>
      <rPr>
        <b val="true"/>
        <sz val="15"/>
        <color rgb="FF0B1520"/>
        <rFont val="맑은 고딕"/>
        <family val="0"/>
        <charset val="1"/>
      </rPr>
      <t xml:space="preserve">(PostgreSQL · JPA </t>
    </r>
    <r>
      <rPr>
        <b val="true"/>
        <sz val="15"/>
        <color rgb="FF0B1520"/>
        <rFont val="Noto Sans CJK SC"/>
        <family val="2"/>
      </rPr>
      <t xml:space="preserve">엔티티 기준</t>
    </r>
    <r>
      <rPr>
        <b val="true"/>
        <sz val="15"/>
        <color rgb="FF0B1520"/>
        <rFont val="맑은 고딕"/>
        <family val="0"/>
        <charset val="1"/>
      </rPr>
      <t xml:space="preserve">)</t>
    </r>
  </si>
  <si>
    <r>
      <rPr>
        <sz val="9"/>
        <color rgb="FF56677A"/>
        <rFont val="Noto Sans CJK SC"/>
        <family val="2"/>
      </rPr>
      <t xml:space="preserve">허브 </t>
    </r>
    <r>
      <rPr>
        <sz val="9"/>
        <color rgb="FF56677A"/>
        <rFont val="맑은 고딕"/>
        <family val="0"/>
        <charset val="1"/>
      </rPr>
      <t xml:space="preserve">AMR </t>
    </r>
    <r>
      <rPr>
        <sz val="9"/>
        <color rgb="FF56677A"/>
        <rFont val="Noto Sans CJK SC"/>
        <family val="2"/>
      </rPr>
      <t xml:space="preserve">디지털 트윈 관제 </t>
    </r>
    <r>
      <rPr>
        <sz val="9"/>
        <color rgb="FF56677A"/>
        <rFont val="맑은 고딕"/>
        <family val="0"/>
        <charset val="1"/>
      </rPr>
      <t xml:space="preserve">(S-CARGO </t>
    </r>
    <r>
      <rPr>
        <sz val="9"/>
        <color rgb="FF56677A"/>
        <rFont val="Noto Sans CJK SC"/>
        <family val="2"/>
      </rPr>
      <t xml:space="preserve">허브 파트 </t>
    </r>
    <r>
      <rPr>
        <sz val="9"/>
        <color rgb="FF56677A"/>
        <rFont val="맑은 고딕"/>
        <family val="0"/>
        <charset val="1"/>
      </rPr>
      <t xml:space="preserve">· 1</t>
    </r>
    <r>
      <rPr>
        <sz val="9"/>
        <color rgb="FF56677A"/>
        <rFont val="Noto Sans CJK SC"/>
        <family val="2"/>
      </rPr>
      <t xml:space="preserve">인 개발</t>
    </r>
    <r>
      <rPr>
        <sz val="9"/>
        <color rgb="FF56677A"/>
        <rFont val="맑은 고딕"/>
        <family val="0"/>
        <charset val="1"/>
      </rPr>
      <t xml:space="preserve">)  ·  </t>
    </r>
    <r>
      <rPr>
        <sz val="9"/>
        <color rgb="FF56677A"/>
        <rFont val="Noto Sans CJK SC"/>
        <family val="2"/>
      </rPr>
      <t xml:space="preserve">테이블은 백엔드 실행 시 </t>
    </r>
    <r>
      <rPr>
        <sz val="9"/>
        <color rgb="FF56677A"/>
        <rFont val="맑은 고딕"/>
        <family val="0"/>
        <charset val="1"/>
      </rPr>
      <t xml:space="preserve">JPA</t>
    </r>
    <r>
      <rPr>
        <sz val="9"/>
        <color rgb="FF56677A"/>
        <rFont val="Noto Sans CJK SC"/>
        <family val="2"/>
      </rPr>
      <t xml:space="preserve">가 자동 생성 </t>
    </r>
    <r>
      <rPr>
        <sz val="9"/>
        <color rgb="FF56677A"/>
        <rFont val="맑은 고딕"/>
        <family val="0"/>
        <charset val="1"/>
      </rPr>
      <t xml:space="preserve">(ddl-auto: update)</t>
    </r>
  </si>
  <si>
    <t xml:space="preserve">hubs</t>
  </si>
  <si>
    <r>
      <rPr>
        <b val="true"/>
        <sz val="10"/>
        <color rgb="FF0B1520"/>
        <rFont val="Noto Sans CJK SC"/>
        <family val="2"/>
      </rPr>
      <t xml:space="preserve">허브 마스터 </t>
    </r>
    <r>
      <rPr>
        <b val="true"/>
        <sz val="10"/>
        <color rgb="FF0B1520"/>
        <rFont val="맑은 고딕"/>
        <family val="0"/>
        <charset val="1"/>
      </rPr>
      <t xml:space="preserve">(</t>
    </r>
    <r>
      <rPr>
        <b val="true"/>
        <sz val="10"/>
        <color rgb="FF0B1520"/>
        <rFont val="Noto Sans CJK SC"/>
        <family val="2"/>
      </rPr>
      <t xml:space="preserve">허브 코드 </t>
    </r>
    <r>
      <rPr>
        <b val="true"/>
        <sz val="10"/>
        <color rgb="FF0B1520"/>
        <rFont val="맑은 고딕"/>
        <family val="0"/>
        <charset val="1"/>
      </rPr>
      <t xml:space="preserve">· </t>
    </r>
    <r>
      <rPr>
        <b val="true"/>
        <sz val="10"/>
        <color rgb="FF0B1520"/>
        <rFont val="Noto Sans CJK SC"/>
        <family val="2"/>
      </rPr>
      <t xml:space="preserve">이름</t>
    </r>
    <r>
      <rPr>
        <b val="true"/>
        <sz val="10"/>
        <color rgb="FF0B1520"/>
        <rFont val="맑은 고딕"/>
        <family val="0"/>
        <charset val="1"/>
      </rPr>
      <t xml:space="preserve">)</t>
    </r>
  </si>
  <si>
    <t xml:space="preserve">No</t>
  </si>
  <si>
    <t xml:space="preserve">컬럼명</t>
  </si>
  <si>
    <t xml:space="preserve">데이터 타입</t>
  </si>
  <si>
    <t xml:space="preserve">PK</t>
  </si>
  <si>
    <t xml:space="preserve">NOT NULL</t>
  </si>
  <si>
    <t xml:space="preserve">자동 증가</t>
  </si>
  <si>
    <t xml:space="preserve">설명</t>
  </si>
  <si>
    <t xml:space="preserve">hub_id</t>
  </si>
  <si>
    <t xml:space="preserve">BIGINT</t>
  </si>
  <si>
    <t xml:space="preserve">Y</t>
  </si>
  <si>
    <t xml:space="preserve">허브 번호</t>
  </si>
  <si>
    <t xml:space="preserve">hub_code</t>
  </si>
  <si>
    <t xml:space="preserve">VARCHAR(30)</t>
  </si>
  <si>
    <t xml:space="preserve">허브 코드</t>
  </si>
  <si>
    <t xml:space="preserve">hub_name</t>
  </si>
  <si>
    <t xml:space="preserve">VARCHAR(100)</t>
  </si>
  <si>
    <t xml:space="preserve">허브 이름</t>
  </si>
  <si>
    <t xml:space="preserve">amr_robots</t>
  </si>
  <si>
    <r>
      <rPr>
        <b val="true"/>
        <sz val="10"/>
        <color rgb="FF0B1520"/>
        <rFont val="Noto Sans CJK SC"/>
        <family val="2"/>
      </rPr>
      <t xml:space="preserve">로봇 마스터 </t>
    </r>
    <r>
      <rPr>
        <b val="true"/>
        <sz val="10"/>
        <color rgb="FF0B1520"/>
        <rFont val="맑은 고딕"/>
        <family val="0"/>
        <charset val="1"/>
      </rPr>
      <t xml:space="preserve">+ </t>
    </r>
    <r>
      <rPr>
        <b val="true"/>
        <sz val="10"/>
        <color rgb="FF0B1520"/>
        <rFont val="Noto Sans CJK SC"/>
        <family val="2"/>
      </rPr>
      <t xml:space="preserve">현재 상태 </t>
    </r>
    <r>
      <rPr>
        <b val="true"/>
        <sz val="10"/>
        <color rgb="FF0B1520"/>
        <rFont val="맑은 고딕"/>
        <family val="0"/>
        <charset val="1"/>
      </rPr>
      <t xml:space="preserve">(</t>
    </r>
    <r>
      <rPr>
        <b val="true"/>
        <sz val="10"/>
        <color rgb="FF0B1520"/>
        <rFont val="Noto Sans CJK SC"/>
        <family val="2"/>
      </rPr>
      <t xml:space="preserve">시뮬레이터가 </t>
    </r>
    <r>
      <rPr>
        <b val="true"/>
        <sz val="10"/>
        <color rgb="FF0B1520"/>
        <rFont val="맑은 고딕"/>
        <family val="0"/>
        <charset val="1"/>
      </rPr>
      <t xml:space="preserve">2</t>
    </r>
    <r>
      <rPr>
        <b val="true"/>
        <sz val="10"/>
        <color rgb="FF0B1520"/>
        <rFont val="Noto Sans CJK SC"/>
        <family val="2"/>
      </rPr>
      <t xml:space="preserve">초마다 갱신</t>
    </r>
    <r>
      <rPr>
        <b val="true"/>
        <sz val="10"/>
        <color rgb="FF0B1520"/>
        <rFont val="맑은 고딕"/>
        <family val="0"/>
        <charset val="1"/>
      </rPr>
      <t xml:space="preserve">)</t>
    </r>
  </si>
  <si>
    <t xml:space="preserve">robot_id</t>
  </si>
  <si>
    <t xml:space="preserve">로봇 번호</t>
  </si>
  <si>
    <t xml:space="preserve">robot_code</t>
  </si>
  <si>
    <t xml:space="preserve">VARCHAR(20)</t>
  </si>
  <si>
    <r>
      <rPr>
        <sz val="9.5"/>
        <rFont val="Noto Sans CJK SC"/>
        <family val="2"/>
      </rPr>
      <t xml:space="preserve">로봇 코드 </t>
    </r>
    <r>
      <rPr>
        <sz val="9.5"/>
        <rFont val="맑은 고딕"/>
        <family val="0"/>
        <charset val="1"/>
      </rPr>
      <t xml:space="preserve">(AMR-01~05, FL-01)</t>
    </r>
  </si>
  <si>
    <t xml:space="preserve">robot_type</t>
  </si>
  <si>
    <t xml:space="preserve">AMR / FORKLIFT</t>
  </si>
  <si>
    <t xml:space="preserve">robot_role</t>
  </si>
  <si>
    <r>
      <rPr>
        <sz val="9.5"/>
        <rFont val="맑은 고딕"/>
        <family val="0"/>
        <charset val="1"/>
      </rPr>
      <t xml:space="preserve">ACTIVE / SPARE(</t>
    </r>
    <r>
      <rPr>
        <sz val="9.5"/>
        <rFont val="Noto Sans CJK SC"/>
        <family val="2"/>
      </rPr>
      <t xml:space="preserve">예비기</t>
    </r>
    <r>
      <rPr>
        <sz val="9.5"/>
        <rFont val="맑은 고딕"/>
        <family val="0"/>
        <charset val="1"/>
      </rPr>
      <t xml:space="preserve">)</t>
    </r>
  </si>
  <si>
    <t xml:space="preserve">state</t>
  </si>
  <si>
    <t xml:space="preserve">로봇 상태</t>
  </si>
  <si>
    <t xml:space="preserve">battery_pct</t>
  </si>
  <si>
    <t xml:space="preserve">DOUBLE PRECISION</t>
  </si>
  <si>
    <r>
      <rPr>
        <sz val="9.5"/>
        <rFont val="Noto Sans CJK SC"/>
        <family val="2"/>
      </rPr>
      <t xml:space="preserve">배터리 </t>
    </r>
    <r>
      <rPr>
        <sz val="9.5"/>
        <rFont val="맑은 고딕"/>
        <family val="0"/>
        <charset val="1"/>
      </rPr>
      <t xml:space="preserve">%</t>
    </r>
  </si>
  <si>
    <t xml:space="preserve">health_score</t>
  </si>
  <si>
    <r>
      <rPr>
        <sz val="9.5"/>
        <rFont val="Noto Sans CJK SC"/>
        <family val="2"/>
      </rPr>
      <t xml:space="preserve">건강점수 </t>
    </r>
    <r>
      <rPr>
        <sz val="9.5"/>
        <rFont val="맑은 고딕"/>
        <family val="0"/>
        <charset val="1"/>
      </rPr>
      <t xml:space="preserve">(0~100)</t>
    </r>
  </si>
  <si>
    <t xml:space="preserve">cum_load_kg</t>
  </si>
  <si>
    <r>
      <rPr>
        <sz val="9.5"/>
        <rFont val="Noto Sans CJK SC"/>
        <family val="2"/>
      </rPr>
      <t xml:space="preserve">누적 운반량 </t>
    </r>
    <r>
      <rPr>
        <sz val="9.5"/>
        <rFont val="맑은 고딕"/>
        <family val="0"/>
        <charset val="1"/>
      </rPr>
      <t xml:space="preserve">kg</t>
    </r>
  </si>
  <si>
    <t xml:space="preserve">last_maintained_at</t>
  </si>
  <si>
    <t xml:space="preserve">TIMESTAMPTZ</t>
  </si>
  <si>
    <t xml:space="preserve">마지막 정비 시각</t>
  </si>
  <si>
    <t xml:space="preserve">updated_at</t>
  </si>
  <si>
    <t xml:space="preserve">수정 시각</t>
  </si>
  <si>
    <t xml:space="preserve">amr_telemetry</t>
  </si>
  <si>
    <r>
      <rPr>
        <b val="true"/>
        <sz val="10"/>
        <color rgb="FF0B1520"/>
        <rFont val="Noto Sans CJK SC"/>
        <family val="2"/>
      </rPr>
      <t xml:space="preserve">센서 시계열 </t>
    </r>
    <r>
      <rPr>
        <b val="true"/>
        <sz val="10"/>
        <color rgb="FF0B1520"/>
        <rFont val="맑은 고딕"/>
        <family val="0"/>
        <charset val="1"/>
      </rPr>
      <t xml:space="preserve">(2</t>
    </r>
    <r>
      <rPr>
        <b val="true"/>
        <sz val="10"/>
        <color rgb="FF0B1520"/>
        <rFont val="Noto Sans CJK SC"/>
        <family val="2"/>
      </rPr>
      <t xml:space="preserve">초마다 </t>
    </r>
    <r>
      <rPr>
        <b val="true"/>
        <sz val="10"/>
        <color rgb="FF0B1520"/>
        <rFont val="맑은 고딕"/>
        <family val="0"/>
        <charset val="1"/>
      </rPr>
      <t xml:space="preserve">1</t>
    </r>
    <r>
      <rPr>
        <b val="true"/>
        <sz val="10"/>
        <color rgb="FF0B1520"/>
        <rFont val="Noto Sans CJK SC"/>
        <family val="2"/>
      </rPr>
      <t xml:space="preserve">행</t>
    </r>
    <r>
      <rPr>
        <b val="true"/>
        <sz val="10"/>
        <color rgb="FF0B1520"/>
        <rFont val="맑은 고딕"/>
        <family val="0"/>
        <charset val="1"/>
      </rPr>
      <t xml:space="preserve">)</t>
    </r>
  </si>
  <si>
    <t xml:space="preserve">telemetry_id</t>
  </si>
  <si>
    <t xml:space="preserve">센서 기록 번호</t>
  </si>
  <si>
    <t xml:space="preserve">vibration_mm_s</t>
  </si>
  <si>
    <r>
      <rPr>
        <sz val="9.5"/>
        <rFont val="Noto Sans CJK SC"/>
        <family val="2"/>
      </rPr>
      <t xml:space="preserve">진동 </t>
    </r>
    <r>
      <rPr>
        <sz val="9.5"/>
        <rFont val="맑은 고딕"/>
        <family val="0"/>
        <charset val="1"/>
      </rPr>
      <t xml:space="preserve">mm/s</t>
    </r>
  </si>
  <si>
    <t xml:space="preserve">motor_temp_c</t>
  </si>
  <si>
    <t xml:space="preserve">모터 온도 ℃</t>
  </si>
  <si>
    <t xml:space="preserve">speed_m_s</t>
  </si>
  <si>
    <r>
      <rPr>
        <sz val="9.5"/>
        <rFont val="Noto Sans CJK SC"/>
        <family val="2"/>
      </rPr>
      <t xml:space="preserve">속도 </t>
    </r>
    <r>
      <rPr>
        <sz val="9.5"/>
        <rFont val="맑은 고딕"/>
        <family val="0"/>
        <charset val="1"/>
      </rPr>
      <t xml:space="preserve">m/s</t>
    </r>
  </si>
  <si>
    <t xml:space="preserve">pos_x</t>
  </si>
  <si>
    <r>
      <rPr>
        <sz val="9.5"/>
        <rFont val="Noto Sans CJK SC"/>
        <family val="2"/>
      </rPr>
      <t xml:space="preserve">위치 </t>
    </r>
    <r>
      <rPr>
        <sz val="9.5"/>
        <rFont val="맑은 고딕"/>
        <family val="0"/>
        <charset val="1"/>
      </rPr>
      <t xml:space="preserve">X</t>
    </r>
  </si>
  <si>
    <t xml:space="preserve">pos_y</t>
  </si>
  <si>
    <r>
      <rPr>
        <sz val="9.5"/>
        <rFont val="Noto Sans CJK SC"/>
        <family val="2"/>
      </rPr>
      <t xml:space="preserve">위치 </t>
    </r>
    <r>
      <rPr>
        <sz val="9.5"/>
        <rFont val="맑은 고딕"/>
        <family val="0"/>
        <charset val="1"/>
      </rPr>
      <t xml:space="preserve">Y</t>
    </r>
  </si>
  <si>
    <t xml:space="preserve">recorded_at</t>
  </si>
  <si>
    <t xml:space="preserve">기록 시각</t>
  </si>
  <si>
    <t xml:space="preserve">amr_predictions</t>
  </si>
  <si>
    <r>
      <rPr>
        <b val="true"/>
        <sz val="10"/>
        <color rgb="FF0B1520"/>
        <rFont val="맑은 고딕"/>
        <family val="0"/>
        <charset val="1"/>
      </rPr>
      <t xml:space="preserve">AI </t>
    </r>
    <r>
      <rPr>
        <b val="true"/>
        <sz val="10"/>
        <color rgb="FF0B1520"/>
        <rFont val="Noto Sans CJK SC"/>
        <family val="2"/>
      </rPr>
      <t xml:space="preserve">고장 예측 결과</t>
    </r>
  </si>
  <si>
    <t xml:space="preserve">prediction_id</t>
  </si>
  <si>
    <t xml:space="preserve">예측 번호</t>
  </si>
  <si>
    <t xml:space="preserve">component</t>
  </si>
  <si>
    <t xml:space="preserve">VARCHAR(50)</t>
  </si>
  <si>
    <t xml:space="preserve">예측 부품</t>
  </si>
  <si>
    <t xml:space="preserve">risk_level</t>
  </si>
  <si>
    <t xml:space="preserve">VARCHAR(10)</t>
  </si>
  <si>
    <t xml:space="preserve">LOW / WARN / CRIT</t>
  </si>
  <si>
    <t xml:space="preserve">predicted_rul_hours</t>
  </si>
  <si>
    <r>
      <rPr>
        <sz val="9.5"/>
        <rFont val="Noto Sans CJK SC"/>
        <family val="2"/>
      </rPr>
      <t xml:space="preserve">남은 수명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시간</t>
    </r>
    <r>
      <rPr>
        <sz val="9.5"/>
        <rFont val="맑은 고딕"/>
        <family val="0"/>
        <charset val="1"/>
      </rPr>
      <t xml:space="preserve">)</t>
    </r>
  </si>
  <si>
    <t xml:space="preserve">vibration_slope</t>
  </si>
  <si>
    <t xml:space="preserve">진동 추세 기울기</t>
  </si>
  <si>
    <t xml:space="preserve">reason</t>
  </si>
  <si>
    <t xml:space="preserve">TEXT</t>
  </si>
  <si>
    <t xml:space="preserve">예측 근거</t>
  </si>
  <si>
    <t xml:space="preserve">model_version</t>
  </si>
  <si>
    <t xml:space="preserve">예측 규칙 버전</t>
  </si>
  <si>
    <t xml:space="preserve">is_resolved</t>
  </si>
  <si>
    <t xml:space="preserve">BOOLEAN</t>
  </si>
  <si>
    <t xml:space="preserve">정비로 해소됐는지</t>
  </si>
  <si>
    <t xml:space="preserve">predicted_at</t>
  </si>
  <si>
    <t xml:space="preserve">예측 시각</t>
  </si>
  <si>
    <t xml:space="preserve">amr_maintenance</t>
  </si>
  <si>
    <r>
      <rPr>
        <b val="true"/>
        <sz val="10"/>
        <color rgb="FF0B1520"/>
        <rFont val="Noto Sans CJK SC"/>
        <family val="2"/>
      </rPr>
      <t xml:space="preserve">정비 이력 </t>
    </r>
    <r>
      <rPr>
        <b val="true"/>
        <sz val="10"/>
        <color rgb="FF0B1520"/>
        <rFont val="맑은 고딕"/>
        <family val="0"/>
        <charset val="1"/>
      </rPr>
      <t xml:space="preserve">(</t>
    </r>
    <r>
      <rPr>
        <b val="true"/>
        <sz val="10"/>
        <color rgb="FF0B1520"/>
        <rFont val="Noto Sans CJK SC"/>
        <family val="2"/>
      </rPr>
      <t xml:space="preserve">예약 </t>
    </r>
    <r>
      <rPr>
        <b val="true"/>
        <sz val="10"/>
        <color rgb="FF0B1520"/>
        <rFont val="맑은 고딕"/>
        <family val="0"/>
        <charset val="1"/>
      </rPr>
      <t xml:space="preserve">· </t>
    </r>
    <r>
      <rPr>
        <b val="true"/>
        <sz val="10"/>
        <color rgb="FF0B1520"/>
        <rFont val="Noto Sans CJK SC"/>
        <family val="2"/>
      </rPr>
      <t xml:space="preserve">승인 </t>
    </r>
    <r>
      <rPr>
        <b val="true"/>
        <sz val="10"/>
        <color rgb="FF0B1520"/>
        <rFont val="맑은 고딕"/>
        <family val="0"/>
        <charset val="1"/>
      </rPr>
      <t xml:space="preserve">· </t>
    </r>
    <r>
      <rPr>
        <b val="true"/>
        <sz val="10"/>
        <color rgb="FF0B1520"/>
        <rFont val="Noto Sans CJK SC"/>
        <family val="2"/>
      </rPr>
      <t xml:space="preserve">시작 </t>
    </r>
    <r>
      <rPr>
        <b val="true"/>
        <sz val="10"/>
        <color rgb="FF0B1520"/>
        <rFont val="맑은 고딕"/>
        <family val="0"/>
        <charset val="1"/>
      </rPr>
      <t xml:space="preserve">· </t>
    </r>
    <r>
      <rPr>
        <b val="true"/>
        <sz val="10"/>
        <color rgb="FF0B1520"/>
        <rFont val="Noto Sans CJK SC"/>
        <family val="2"/>
      </rPr>
      <t xml:space="preserve">완료</t>
    </r>
    <r>
      <rPr>
        <b val="true"/>
        <sz val="10"/>
        <color rgb="FF0B1520"/>
        <rFont val="맑은 고딕"/>
        <family val="0"/>
        <charset val="1"/>
      </rPr>
      <t xml:space="preserve">)</t>
    </r>
  </si>
  <si>
    <t xml:space="preserve">maint_id</t>
  </si>
  <si>
    <t xml:space="preserve">정비 번호</t>
  </si>
  <si>
    <t xml:space="preserve">spare_robot_id</t>
  </si>
  <si>
    <t xml:space="preserve">대신 투입된 예비 로봇</t>
  </si>
  <si>
    <t xml:space="preserve">maint_type</t>
  </si>
  <si>
    <t xml:space="preserve">정비 종류</t>
  </si>
  <si>
    <t xml:space="preserve">part_name</t>
  </si>
  <si>
    <t xml:space="preserve">교체 부품</t>
  </si>
  <si>
    <t xml:space="preserve">status</t>
  </si>
  <si>
    <t xml:space="preserve">SCHEDULED / IN_PROGRESS / DONE</t>
  </si>
  <si>
    <t xml:space="preserve">memo</t>
  </si>
  <si>
    <t xml:space="preserve">메모</t>
  </si>
  <si>
    <t xml:space="preserve">scheduled_at</t>
  </si>
  <si>
    <t xml:space="preserve">예약 시각</t>
  </si>
  <si>
    <t xml:space="preserve">approved_at</t>
  </si>
  <si>
    <t xml:space="preserve">승인 시각</t>
  </si>
  <si>
    <t xml:space="preserve">approved_by</t>
  </si>
  <si>
    <r>
      <rPr>
        <sz val="9.5"/>
        <rFont val="Noto Sans CJK SC"/>
        <family val="2"/>
      </rPr>
      <t xml:space="preserve">승인 주체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자동</t>
    </r>
    <r>
      <rPr>
        <sz val="9.5"/>
        <rFont val="맑은 고딕"/>
        <family val="0"/>
        <charset val="1"/>
      </rPr>
      <t xml:space="preserve">)</t>
    </r>
  </si>
  <si>
    <t xml:space="preserve">started_at</t>
  </si>
  <si>
    <t xml:space="preserve">시작 시각</t>
  </si>
  <si>
    <t xml:space="preserve">completed_at</t>
  </si>
  <si>
    <t xml:space="preserve">완료 시각</t>
  </si>
  <si>
    <t xml:space="preserve">hub_events</t>
  </si>
  <si>
    <r>
      <rPr>
        <b val="true"/>
        <sz val="10"/>
        <color rgb="FF0B1520"/>
        <rFont val="Noto Sans CJK SC"/>
        <family val="2"/>
      </rPr>
      <t xml:space="preserve">관제 이벤트 로그 </t>
    </r>
    <r>
      <rPr>
        <b val="true"/>
        <sz val="10"/>
        <color rgb="FF0B1520"/>
        <rFont val="맑은 고딕"/>
        <family val="0"/>
        <charset val="1"/>
      </rPr>
      <t xml:space="preserve">· </t>
    </r>
    <r>
      <rPr>
        <b val="true"/>
        <sz val="10"/>
        <color rgb="FF0B1520"/>
        <rFont val="Noto Sans CJK SC"/>
        <family val="2"/>
      </rPr>
      <t xml:space="preserve">화면 알림</t>
    </r>
  </si>
  <si>
    <t xml:space="preserve">event_id</t>
  </si>
  <si>
    <t xml:space="preserve">이벤트 번호</t>
  </si>
  <si>
    <t xml:space="preserve">event_level</t>
  </si>
  <si>
    <t xml:space="preserve">INFO / OK / WARN / CRIT / DISPATCH</t>
  </si>
  <si>
    <t xml:space="preserve">phase_no</t>
  </si>
  <si>
    <t xml:space="preserve">INTEGER</t>
  </si>
  <si>
    <r>
      <rPr>
        <sz val="9.5"/>
        <rFont val="Noto Sans CJK SC"/>
        <family val="2"/>
      </rPr>
      <t xml:space="preserve">관제 단계 </t>
    </r>
    <r>
      <rPr>
        <sz val="9.5"/>
        <rFont val="맑은 고딕"/>
        <family val="0"/>
        <charset val="1"/>
      </rPr>
      <t xml:space="preserve">(1~5)</t>
    </r>
  </si>
  <si>
    <t xml:space="preserve">message</t>
  </si>
  <si>
    <t xml:space="preserve">이벤트 내용</t>
  </si>
  <si>
    <t xml:space="preserve">created_at</t>
  </si>
  <si>
    <t xml:space="preserve">생성 시각</t>
  </si>
  <si>
    <r>
      <rPr>
        <b val="true"/>
        <sz val="10"/>
        <color rgb="FF0B1520"/>
        <rFont val="Noto Sans CJK SC"/>
        <family val="2"/>
      </rPr>
      <t xml:space="preserve">관리자 운영 기준 </t>
    </r>
    <r>
      <rPr>
        <b val="true"/>
        <sz val="10"/>
        <color rgb="FF0B1520"/>
        <rFont val="맑은 고딕"/>
        <family val="0"/>
        <charset val="1"/>
      </rPr>
      <t xml:space="preserve">(</t>
    </r>
    <r>
      <rPr>
        <b val="true"/>
        <sz val="10"/>
        <color rgb="FF0B1520"/>
        <rFont val="Noto Sans CJK SC"/>
        <family val="2"/>
      </rPr>
      <t xml:space="preserve">허브별 </t>
    </r>
    <r>
      <rPr>
        <b val="true"/>
        <sz val="10"/>
        <color rgb="FF0B1520"/>
        <rFont val="맑은 고딕"/>
        <family val="0"/>
        <charset val="1"/>
      </rPr>
      <t xml:space="preserve">1</t>
    </r>
    <r>
      <rPr>
        <b val="true"/>
        <sz val="10"/>
        <color rgb="FF0B1520"/>
        <rFont val="Noto Sans CJK SC"/>
        <family val="2"/>
      </rPr>
      <t xml:space="preserve">행</t>
    </r>
    <r>
      <rPr>
        <b val="true"/>
        <sz val="10"/>
        <color rgb="FF0B1520"/>
        <rFont val="맑은 고딕"/>
        <family val="0"/>
        <charset val="1"/>
      </rPr>
      <t xml:space="preserve">)</t>
    </r>
  </si>
  <si>
    <t xml:space="preserve">rul_threshold_hours</t>
  </si>
  <si>
    <r>
      <rPr>
        <sz val="9.5"/>
        <rFont val="Noto Sans CJK SC"/>
        <family val="2"/>
      </rPr>
      <t xml:space="preserve">정비 기준</t>
    </r>
    <r>
      <rPr>
        <sz val="9.5"/>
        <rFont val="맑은 고딕"/>
        <family val="0"/>
        <charset val="1"/>
      </rPr>
      <t xml:space="preserve">: </t>
    </r>
    <r>
      <rPr>
        <sz val="9.5"/>
        <rFont val="Noto Sans CJK SC"/>
        <family val="2"/>
      </rPr>
      <t xml:space="preserve">남은 수명이 이 시간 이하면 자동 정비</t>
    </r>
  </si>
  <si>
    <t xml:space="preserve">charge_at_pct</t>
  </si>
  <si>
    <r>
      <rPr>
        <sz val="9.5"/>
        <rFont val="Noto Sans CJK SC"/>
        <family val="2"/>
      </rPr>
      <t xml:space="preserve">충전 기준</t>
    </r>
    <r>
      <rPr>
        <sz val="9.5"/>
        <rFont val="맑은 고딕"/>
        <family val="0"/>
        <charset val="1"/>
      </rPr>
      <t xml:space="preserve">: </t>
    </r>
    <r>
      <rPr>
        <sz val="9.5"/>
        <rFont val="Noto Sans CJK SC"/>
        <family val="2"/>
      </rPr>
      <t xml:space="preserve">배터리가 이 </t>
    </r>
    <r>
      <rPr>
        <sz val="9.5"/>
        <rFont val="맑은 고딕"/>
        <family val="0"/>
        <charset val="1"/>
      </rPr>
      <t xml:space="preserve">% </t>
    </r>
    <r>
      <rPr>
        <sz val="9.5"/>
        <rFont val="Noto Sans CJK SC"/>
        <family val="2"/>
      </rPr>
      <t xml:space="preserve">이하면 충전 이동</t>
    </r>
  </si>
  <si>
    <t xml:space="preserve">updated_by</t>
  </si>
  <si>
    <r>
      <rPr>
        <sz val="9.5"/>
        <rFont val="Noto Sans CJK SC"/>
        <family val="2"/>
      </rPr>
      <t xml:space="preserve">변경한 곳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웹</t>
    </r>
    <r>
      <rPr>
        <sz val="9.5"/>
        <rFont val="맑은 고딕"/>
        <family val="0"/>
        <charset val="1"/>
      </rPr>
      <t xml:space="preserve">)</t>
    </r>
  </si>
  <si>
    <t xml:space="preserve">amr_task_logs</t>
  </si>
  <si>
    <r>
      <rPr>
        <b val="true"/>
        <sz val="10"/>
        <color rgb="FF0B1520"/>
        <rFont val="맑은 고딕"/>
        <family val="0"/>
        <charset val="1"/>
      </rPr>
      <t xml:space="preserve">AMR </t>
    </r>
    <r>
      <rPr>
        <b val="true"/>
        <sz val="10"/>
        <color rgb="FF0B1520"/>
        <rFont val="Noto Sans CJK SC"/>
        <family val="2"/>
      </rPr>
      <t xml:space="preserve">운반 </t>
    </r>
    <r>
      <rPr>
        <b val="true"/>
        <sz val="10"/>
        <color rgb="FF0B1520"/>
        <rFont val="맑은 고딕"/>
        <family val="0"/>
        <charset val="1"/>
      </rPr>
      <t xml:space="preserve">1</t>
    </r>
    <r>
      <rPr>
        <b val="true"/>
        <sz val="10"/>
        <color rgb="FF0B1520"/>
        <rFont val="Noto Sans CJK SC"/>
        <family val="2"/>
      </rPr>
      <t xml:space="preserve">건 </t>
    </r>
    <r>
      <rPr>
        <b val="true"/>
        <sz val="10"/>
        <color rgb="FF0B1520"/>
        <rFont val="맑은 고딕"/>
        <family val="0"/>
        <charset val="1"/>
      </rPr>
      <t xml:space="preserve">= 1</t>
    </r>
    <r>
      <rPr>
        <b val="true"/>
        <sz val="10"/>
        <color rgb="FF0B1520"/>
        <rFont val="Noto Sans CJK SC"/>
        <family val="2"/>
      </rPr>
      <t xml:space="preserve">행 </t>
    </r>
    <r>
      <rPr>
        <b val="true"/>
        <sz val="10"/>
        <color rgb="FF0B1520"/>
        <rFont val="맑은 고딕"/>
        <family val="0"/>
        <charset val="1"/>
      </rPr>
      <t xml:space="preserve">(KPI </t>
    </r>
    <r>
      <rPr>
        <b val="true"/>
        <sz val="10"/>
        <color rgb="FF0B1520"/>
        <rFont val="Noto Sans CJK SC"/>
        <family val="2"/>
      </rPr>
      <t xml:space="preserve">집계용</t>
    </r>
    <r>
      <rPr>
        <b val="true"/>
        <sz val="10"/>
        <color rgb="FF0B1520"/>
        <rFont val="맑은 고딕"/>
        <family val="0"/>
        <charset val="1"/>
      </rPr>
      <t xml:space="preserve">)</t>
    </r>
  </si>
  <si>
    <t xml:space="preserve">task_id</t>
  </si>
  <si>
    <t xml:space="preserve">운반 번호</t>
  </si>
  <si>
    <t xml:space="preserve">task_type</t>
  </si>
  <si>
    <r>
      <rPr>
        <sz val="9.5"/>
        <rFont val="맑은 고딕"/>
        <family val="0"/>
        <charset val="1"/>
      </rPr>
      <t xml:space="preserve">IN(</t>
    </r>
    <r>
      <rPr>
        <sz val="9.5"/>
        <rFont val="Noto Sans CJK SC"/>
        <family val="2"/>
      </rPr>
      <t xml:space="preserve">입고 → 랙</t>
    </r>
    <r>
      <rPr>
        <sz val="9.5"/>
        <rFont val="맑은 고딕"/>
        <family val="0"/>
        <charset val="1"/>
      </rPr>
      <t xml:space="preserve">) / OUT(</t>
    </r>
    <r>
      <rPr>
        <sz val="9.5"/>
        <rFont val="Noto Sans CJK SC"/>
        <family val="2"/>
      </rPr>
      <t xml:space="preserve">랙 → 택배차</t>
    </r>
    <r>
      <rPr>
        <sz val="9.5"/>
        <rFont val="맑은 고딕"/>
        <family val="0"/>
        <charset val="1"/>
      </rPr>
      <t xml:space="preserve">)</t>
    </r>
  </si>
  <si>
    <t xml:space="preserve">waybill_no</t>
  </si>
  <si>
    <t xml:space="preserve">운송장 번호</t>
  </si>
  <si>
    <t xml:space="preserve">barcode</t>
  </si>
  <si>
    <t xml:space="preserve">VARCHAR(13)</t>
  </si>
  <si>
    <r>
      <rPr>
        <sz val="9.5"/>
        <rFont val="Noto Sans CJK SC"/>
        <family val="2"/>
      </rPr>
      <t xml:space="preserve">상자 </t>
    </r>
    <r>
      <rPr>
        <sz val="9.5"/>
        <rFont val="맑은 고딕"/>
        <family val="0"/>
        <charset val="1"/>
      </rPr>
      <t xml:space="preserve">EAN-13</t>
    </r>
  </si>
  <si>
    <t xml:space="preserve">dest_hub</t>
  </si>
  <si>
    <t xml:space="preserve">목적 허브</t>
  </si>
  <si>
    <t xml:space="preserve">handle_type</t>
  </si>
  <si>
    <t xml:space="preserve">취급 구분</t>
  </si>
  <si>
    <t xml:space="preserve">weight_kg</t>
  </si>
  <si>
    <r>
      <rPr>
        <sz val="9.5"/>
        <rFont val="Noto Sans CJK SC"/>
        <family val="2"/>
      </rPr>
      <t xml:space="preserve">무게 </t>
    </r>
    <r>
      <rPr>
        <sz val="9.5"/>
        <rFont val="맑은 고딕"/>
        <family val="0"/>
        <charset val="1"/>
      </rPr>
      <t xml:space="preserve">kg</t>
    </r>
  </si>
  <si>
    <t xml:space="preserve">from_loc</t>
  </si>
  <si>
    <t xml:space="preserve">출발 위치</t>
  </si>
  <si>
    <t xml:space="preserve">to_loc</t>
  </si>
  <si>
    <t xml:space="preserve">도착 위치</t>
  </si>
  <si>
    <t xml:space="preserve">duration_sec</t>
  </si>
  <si>
    <r>
      <rPr>
        <sz val="9.5"/>
        <rFont val="Noto Sans CJK SC"/>
        <family val="2"/>
      </rPr>
      <t xml:space="preserve">운반 시간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초</t>
    </r>
    <r>
      <rPr>
        <sz val="9.5"/>
        <rFont val="맑은 고딕"/>
        <family val="0"/>
        <charset val="1"/>
      </rPr>
      <t xml:space="preserve">)</t>
    </r>
  </si>
  <si>
    <t xml:space="preserve">inter_wait_sec</t>
  </si>
  <si>
    <r>
      <rPr>
        <sz val="9.5"/>
        <rFont val="Noto Sans CJK SC"/>
        <family val="2"/>
      </rPr>
      <t xml:space="preserve">교차로 대기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초</t>
    </r>
    <r>
      <rPr>
        <sz val="9.5"/>
        <rFont val="맑은 고딕"/>
        <family val="0"/>
        <charset val="1"/>
      </rPr>
      <t xml:space="preserve">)</t>
    </r>
  </si>
  <si>
    <t xml:space="preserve">finished_at</t>
  </si>
  <si>
    <t xml:space="preserve">끝난 시각</t>
  </si>
  <si>
    <t xml:space="preserve">hub_vehicles</t>
  </si>
  <si>
    <t xml:space="preserve">허브 출입 등록 차량</t>
  </si>
  <si>
    <t xml:space="preserve">plate_no</t>
  </si>
  <si>
    <r>
      <rPr>
        <sz val="9.5"/>
        <rFont val="Noto Sans CJK SC"/>
        <family val="2"/>
      </rPr>
      <t xml:space="preserve">번호판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공백 없이</t>
    </r>
    <r>
      <rPr>
        <sz val="9.5"/>
        <rFont val="맑은 고딕"/>
        <family val="0"/>
        <charset val="1"/>
      </rPr>
      <t xml:space="preserve">)</t>
    </r>
  </si>
  <si>
    <t xml:space="preserve">vehicle_kind</t>
  </si>
  <si>
    <t xml:space="preserve">CARGO / COURIER</t>
  </si>
  <si>
    <t xml:space="preserve">carrier</t>
  </si>
  <si>
    <t xml:space="preserve">운송사</t>
  </si>
  <si>
    <t xml:space="preserve">hub_vehicle_logs</t>
  </si>
  <si>
    <r>
      <rPr>
        <b val="true"/>
        <sz val="10"/>
        <color rgb="FF0B1520"/>
        <rFont val="Noto Sans CJK SC"/>
        <family val="2"/>
      </rPr>
      <t xml:space="preserve">입구 </t>
    </r>
    <r>
      <rPr>
        <b val="true"/>
        <sz val="10"/>
        <color rgb="FF0B1520"/>
        <rFont val="맑은 고딕"/>
        <family val="0"/>
        <charset val="1"/>
      </rPr>
      <t xml:space="preserve">· </t>
    </r>
    <r>
      <rPr>
        <b val="true"/>
        <sz val="10"/>
        <color rgb="FF0B1520"/>
        <rFont val="Noto Sans CJK SC"/>
        <family val="2"/>
      </rPr>
      <t xml:space="preserve">출구 번호판 인식 기록</t>
    </r>
  </si>
  <si>
    <t xml:space="preserve">log_id</t>
  </si>
  <si>
    <t xml:space="preserve">기록 번호</t>
  </si>
  <si>
    <t xml:space="preserve">direction</t>
  </si>
  <si>
    <t xml:space="preserve">ENTRY / EXIT</t>
  </si>
  <si>
    <t xml:space="preserve">recognized_plate</t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</si>
  <si>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인식 결과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판독불가면 비움</t>
    </r>
    <r>
      <rPr>
        <sz val="9.5"/>
        <rFont val="맑은 고딕"/>
        <family val="0"/>
        <charset val="1"/>
      </rPr>
      <t xml:space="preserve">)</t>
    </r>
  </si>
  <si>
    <t xml:space="preserve">photo_plate</t>
  </si>
  <si>
    <r>
      <rPr>
        <sz val="9.5"/>
        <rFont val="Noto Sans CJK SC"/>
        <family val="2"/>
      </rPr>
      <t xml:space="preserve">사진 파일명 </t>
    </r>
    <r>
      <rPr>
        <sz val="9.5"/>
        <rFont val="맑은 고딕"/>
        <family val="0"/>
        <charset val="1"/>
      </rPr>
      <t xml:space="preserve">= </t>
    </r>
    <r>
      <rPr>
        <sz val="9.5"/>
        <rFont val="Noto Sans CJK SC"/>
        <family val="2"/>
      </rPr>
      <t xml:space="preserve">실제 번호판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정확도 비교</t>
    </r>
    <r>
      <rPr>
        <sz val="9.5"/>
        <rFont val="맑은 고딕"/>
        <family val="0"/>
        <charset val="1"/>
      </rPr>
      <t xml:space="preserve">)</t>
    </r>
  </si>
  <si>
    <t xml:space="preserve">decision</t>
  </si>
  <si>
    <t xml:space="preserve">ALLOW / BLOCK / EXIT_OK / MISMATCH</t>
  </si>
  <si>
    <t xml:space="preserve">lane</t>
  </si>
  <si>
    <t xml:space="preserve">VARCHAR(5)</t>
  </si>
  <si>
    <r>
      <rPr>
        <sz val="9.5"/>
        <rFont val="맑은 고딕"/>
        <family val="0"/>
        <charset val="1"/>
      </rPr>
      <t xml:space="preserve">IN(</t>
    </r>
    <r>
      <rPr>
        <sz val="9.5"/>
        <rFont val="Noto Sans CJK SC"/>
        <family val="2"/>
      </rPr>
      <t xml:space="preserve">화물차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입고</t>
    </r>
    <r>
      <rPr>
        <sz val="9.5"/>
        <rFont val="맑은 고딕"/>
        <family val="0"/>
        <charset val="1"/>
      </rPr>
      <t xml:space="preserve">) / OUT(</t>
    </r>
    <r>
      <rPr>
        <sz val="9.5"/>
        <rFont val="Noto Sans CJK SC"/>
        <family val="2"/>
      </rPr>
      <t xml:space="preserve">택배차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출고</t>
    </r>
    <r>
      <rPr>
        <sz val="9.5"/>
        <rFont val="맑은 고딕"/>
        <family val="0"/>
        <charset val="1"/>
      </rPr>
      <t xml:space="preserve">)</t>
    </r>
  </si>
  <si>
    <t xml:space="preserve">dock_no</t>
  </si>
  <si>
    <t xml:space="preserve">도크 번호</t>
  </si>
  <si>
    <t xml:space="preserve">ocr_confidence</t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</si>
  <si>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신뢰도 </t>
    </r>
    <r>
      <rPr>
        <sz val="9.5"/>
        <rFont val="맑은 고딕"/>
        <family val="0"/>
        <charset val="1"/>
      </rPr>
      <t xml:space="preserve">%</t>
    </r>
  </si>
  <si>
    <t xml:space="preserve">ocr_engine</t>
  </si>
  <si>
    <t xml:space="preserve">인식 엔진</t>
  </si>
  <si>
    <t xml:space="preserve">image_url</t>
  </si>
  <si>
    <t xml:space="preserve">VARCHAR(300)</t>
  </si>
  <si>
    <r>
      <rPr>
        <sz val="9.5"/>
        <rFont val="Noto Sans CJK SC"/>
        <family val="2"/>
      </rPr>
      <t xml:space="preserve">인식 사진 주소 </t>
    </r>
    <r>
      <rPr>
        <sz val="9.5"/>
        <rFont val="맑은 고딕"/>
        <family val="0"/>
        <charset val="1"/>
      </rPr>
      <t xml:space="preserve">(OCR </t>
    </r>
    <r>
      <rPr>
        <sz val="9.5"/>
        <rFont val="Noto Sans CJK SC"/>
        <family val="2"/>
      </rPr>
      <t xml:space="preserve">서버</t>
    </r>
    <r>
      <rPr>
        <sz val="9.5"/>
        <rFont val="맑은 고딕"/>
        <family val="0"/>
        <charset val="1"/>
      </rPr>
      <t xml:space="preserve">)</t>
    </r>
  </si>
  <si>
    <t xml:space="preserve">box_count</t>
  </si>
  <si>
    <r>
      <rPr>
        <sz val="9.5"/>
        <rFont val="Noto Sans CJK SC"/>
        <family val="2"/>
      </rPr>
      <t xml:space="preserve">실린 상자 수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출차</t>
    </r>
    <r>
      <rPr>
        <sz val="9.5"/>
        <rFont val="맑은 고딕"/>
        <family val="0"/>
        <charset val="1"/>
      </rPr>
      <t xml:space="preserve">)</t>
    </r>
  </si>
  <si>
    <t xml:space="preserve">barcodes</t>
  </si>
  <si>
    <r>
      <rPr>
        <sz val="9.5"/>
        <rFont val="Noto Sans CJK SC"/>
        <family val="2"/>
      </rPr>
      <t xml:space="preserve">실린 상자 바코드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쉼표 구분</t>
    </r>
    <r>
      <rPr>
        <sz val="9.5"/>
        <rFont val="맑은 고딕"/>
        <family val="0"/>
        <charset val="1"/>
      </rPr>
      <t xml:space="preserve">)</t>
    </r>
  </si>
  <si>
    <t xml:space="preserve">amr_otp_keys</t>
  </si>
  <si>
    <r>
      <rPr>
        <b val="true"/>
        <sz val="10"/>
        <color rgb="FF0B1520"/>
        <rFont val="Noto Sans CJK SC"/>
        <family val="2"/>
      </rPr>
      <t xml:space="preserve">앱 연결 코드</t>
    </r>
    <r>
      <rPr>
        <b val="true"/>
        <sz val="10"/>
        <color rgb="FF0B1520"/>
        <rFont val="맑은 고딕"/>
        <family val="0"/>
        <charset val="1"/>
      </rPr>
      <t xml:space="preserve">(TOTP) </t>
    </r>
    <r>
      <rPr>
        <b val="true"/>
        <sz val="10"/>
        <color rgb="FF0B1520"/>
        <rFont val="Noto Sans CJK SC"/>
        <family val="2"/>
      </rPr>
      <t xml:space="preserve">비밀키 </t>
    </r>
    <r>
      <rPr>
        <b val="true"/>
        <sz val="10"/>
        <color rgb="FF0B1520"/>
        <rFont val="맑은 고딕"/>
        <family val="0"/>
        <charset val="1"/>
      </rPr>
      <t xml:space="preserve">· </t>
    </r>
    <r>
      <rPr>
        <b val="true"/>
        <sz val="10"/>
        <color rgb="FF0B1520"/>
        <rFont val="Noto Sans CJK SC"/>
        <family val="2"/>
      </rPr>
      <t xml:space="preserve">활성 </t>
    </r>
    <r>
      <rPr>
        <b val="true"/>
        <sz val="10"/>
        <color rgb="FF0B1520"/>
        <rFont val="맑은 고딕"/>
        <family val="0"/>
        <charset val="1"/>
      </rPr>
      <t xml:space="preserve">1</t>
    </r>
    <r>
      <rPr>
        <b val="true"/>
        <sz val="10"/>
        <color rgb="FF0B1520"/>
        <rFont val="Noto Sans CJK SC"/>
        <family val="2"/>
      </rPr>
      <t xml:space="preserve">개</t>
    </r>
  </si>
  <si>
    <t xml:space="preserve">key_id</t>
  </si>
  <si>
    <t xml:space="preserve">키 번호</t>
  </si>
  <si>
    <t xml:space="preserve">label</t>
  </si>
  <si>
    <t xml:space="preserve">VARCHAR(40)</t>
  </si>
  <si>
    <t xml:space="preserve">표시 이름</t>
  </si>
  <si>
    <t xml:space="preserve">secret</t>
  </si>
  <si>
    <t xml:space="preserve">VARCHAR(64)</t>
  </si>
  <si>
    <r>
      <rPr>
        <sz val="9.5"/>
        <rFont val="맑은 고딕"/>
        <family val="0"/>
        <charset val="1"/>
      </rPr>
      <t xml:space="preserve">Base32 </t>
    </r>
    <r>
      <rPr>
        <sz val="9.5"/>
        <rFont val="Noto Sans CJK SC"/>
        <family val="2"/>
      </rPr>
      <t xml:space="preserve">비밀키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서버만 앎</t>
    </r>
    <r>
      <rPr>
        <sz val="9.5"/>
        <rFont val="맑은 고딕"/>
        <family val="0"/>
        <charset val="1"/>
      </rPr>
      <t xml:space="preserve">)</t>
    </r>
  </si>
  <si>
    <t xml:space="preserve">active</t>
  </si>
  <si>
    <t xml:space="preserve">사용 중인 키인지</t>
  </si>
  <si>
    <t xml:space="preserve">created_by</t>
  </si>
  <si>
    <t xml:space="preserve">만든 관리자</t>
  </si>
  <si>
    <t xml:space="preserve">revoked_at</t>
  </si>
  <si>
    <t xml:space="preserve">폐기 시각</t>
  </si>
  <si>
    <t xml:space="preserve">amr_auth_tokens</t>
  </si>
  <si>
    <r>
      <rPr>
        <b val="true"/>
        <sz val="10"/>
        <color rgb="FF0B1520"/>
        <rFont val="Noto Sans CJK SC"/>
        <family val="2"/>
      </rPr>
      <t xml:space="preserve">앱 </t>
    </r>
    <r>
      <rPr>
        <b val="true"/>
        <sz val="10"/>
        <color rgb="FF0B1520"/>
        <rFont val="맑은 고딕"/>
        <family val="0"/>
        <charset val="1"/>
      </rPr>
      <t xml:space="preserve">24</t>
    </r>
    <r>
      <rPr>
        <b val="true"/>
        <sz val="10"/>
        <color rgb="FF0B1520"/>
        <rFont val="Noto Sans CJK SC"/>
        <family val="2"/>
      </rPr>
      <t xml:space="preserve">시간 출입증 </t>
    </r>
    <r>
      <rPr>
        <b val="true"/>
        <sz val="10"/>
        <color rgb="FF0B1520"/>
        <rFont val="맑은 고딕"/>
        <family val="0"/>
        <charset val="1"/>
      </rPr>
      <t xml:space="preserve">(</t>
    </r>
    <r>
      <rPr>
        <b val="true"/>
        <sz val="10"/>
        <color rgb="FF0B1520"/>
        <rFont val="Noto Sans CJK SC"/>
        <family val="2"/>
      </rPr>
      <t xml:space="preserve">원문 대신 </t>
    </r>
    <r>
      <rPr>
        <b val="true"/>
        <sz val="10"/>
        <color rgb="FF0B1520"/>
        <rFont val="맑은 고딕"/>
        <family val="0"/>
        <charset val="1"/>
      </rPr>
      <t xml:space="preserve">SHA-256 </t>
    </r>
    <r>
      <rPr>
        <b val="true"/>
        <sz val="10"/>
        <color rgb="FF0B1520"/>
        <rFont val="Noto Sans CJK SC"/>
        <family val="2"/>
      </rPr>
      <t xml:space="preserve">해시</t>
    </r>
    <r>
      <rPr>
        <b val="true"/>
        <sz val="10"/>
        <color rgb="FF0B1520"/>
        <rFont val="맑은 고딕"/>
        <family val="0"/>
        <charset val="1"/>
      </rPr>
      <t xml:space="preserve">)</t>
    </r>
  </si>
  <si>
    <t xml:space="preserve">token_hash</t>
  </si>
  <si>
    <r>
      <rPr>
        <sz val="9.5"/>
        <rFont val="Noto Sans CJK SC"/>
        <family val="2"/>
      </rPr>
      <t xml:space="preserve">출입증 </t>
    </r>
    <r>
      <rPr>
        <sz val="9.5"/>
        <rFont val="맑은 고딕"/>
        <family val="0"/>
        <charset val="1"/>
      </rPr>
      <t xml:space="preserve">SHA-256 </t>
    </r>
    <r>
      <rPr>
        <sz val="9.5"/>
        <rFont val="Noto Sans CJK SC"/>
        <family val="2"/>
      </rPr>
      <t xml:space="preserve">해시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원문 저장 안 함</t>
    </r>
    <r>
      <rPr>
        <sz val="9.5"/>
        <rFont val="맑은 고딕"/>
        <family val="0"/>
        <charset val="1"/>
      </rPr>
      <t xml:space="preserve">)</t>
    </r>
  </si>
  <si>
    <t xml:space="preserve">client</t>
  </si>
  <si>
    <t xml:space="preserve">WEB / APP</t>
  </si>
  <si>
    <t xml:space="preserve">ip</t>
  </si>
  <si>
    <t xml:space="preserve">VARCHAR(60)</t>
  </si>
  <si>
    <r>
      <rPr>
        <sz val="9.5"/>
        <rFont val="Noto Sans CJK SC"/>
        <family val="2"/>
      </rPr>
      <t xml:space="preserve">접속 </t>
    </r>
    <r>
      <rPr>
        <sz val="9.5"/>
        <rFont val="맑은 고딕"/>
        <family val="0"/>
        <charset val="1"/>
      </rPr>
      <t xml:space="preserve">IP</t>
    </r>
  </si>
  <si>
    <t xml:space="preserve">expires_at</t>
  </si>
  <si>
    <r>
      <rPr>
        <sz val="9.5"/>
        <rFont val="Noto Sans CJK SC"/>
        <family val="2"/>
      </rPr>
      <t xml:space="preserve">만료 시각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발급 </t>
    </r>
    <r>
      <rPr>
        <sz val="9.5"/>
        <rFont val="맑은 고딕"/>
        <family val="0"/>
        <charset val="1"/>
      </rPr>
      <t xml:space="preserve">+ 24</t>
    </r>
    <r>
      <rPr>
        <sz val="9.5"/>
        <rFont val="Noto Sans CJK SC"/>
        <family val="2"/>
      </rPr>
      <t xml:space="preserve">시간</t>
    </r>
    <r>
      <rPr>
        <sz val="9.5"/>
        <rFont val="맑은 고딕"/>
        <family val="0"/>
        <charset val="1"/>
      </rPr>
      <t xml:space="preserve">)</t>
    </r>
  </si>
  <si>
    <t xml:space="preserve">last_used_at</t>
  </si>
  <si>
    <t xml:space="preserve">마지막 사용 시각</t>
  </si>
  <si>
    <t xml:space="preserve">revoked</t>
  </si>
  <si>
    <t xml:space="preserve">폐기 여부</t>
  </si>
  <si>
    <r>
      <rPr>
        <b val="true"/>
        <sz val="15"/>
        <color rgb="FF0B1520"/>
        <rFont val="맑은 고딕"/>
        <family val="0"/>
        <charset val="1"/>
      </rPr>
      <t xml:space="preserve">12 API </t>
    </r>
    <r>
      <rPr>
        <b val="true"/>
        <sz val="15"/>
        <color rgb="FF0B1520"/>
        <rFont val="Noto Sans CJK SC"/>
        <family val="2"/>
      </rPr>
      <t xml:space="preserve">정의서</t>
    </r>
  </si>
  <si>
    <r>
      <rPr>
        <sz val="9"/>
        <color rgb="FF56677A"/>
        <rFont val="Noto Sans CJK SC"/>
        <family val="2"/>
      </rPr>
      <t xml:space="preserve">허브 </t>
    </r>
    <r>
      <rPr>
        <sz val="9"/>
        <color rgb="FF56677A"/>
        <rFont val="맑은 고딕"/>
        <family val="0"/>
        <charset val="1"/>
      </rPr>
      <t xml:space="preserve">AMR </t>
    </r>
    <r>
      <rPr>
        <sz val="9"/>
        <color rgb="FF56677A"/>
        <rFont val="Noto Sans CJK SC"/>
        <family val="2"/>
      </rPr>
      <t xml:space="preserve">디지털 트윈 관제 </t>
    </r>
    <r>
      <rPr>
        <sz val="9"/>
        <color rgb="FF56677A"/>
        <rFont val="맑은 고딕"/>
        <family val="0"/>
        <charset val="1"/>
      </rPr>
      <t xml:space="preserve">(S-CARGO </t>
    </r>
    <r>
      <rPr>
        <sz val="9"/>
        <color rgb="FF56677A"/>
        <rFont val="Noto Sans CJK SC"/>
        <family val="2"/>
      </rPr>
      <t xml:space="preserve">허브 파트 </t>
    </r>
    <r>
      <rPr>
        <sz val="9"/>
        <color rgb="FF56677A"/>
        <rFont val="맑은 고딕"/>
        <family val="0"/>
        <charset val="1"/>
      </rPr>
      <t xml:space="preserve">· 1</t>
    </r>
    <r>
      <rPr>
        <sz val="9"/>
        <color rgb="FF56677A"/>
        <rFont val="Noto Sans CJK SC"/>
        <family val="2"/>
      </rPr>
      <t xml:space="preserve">인 개발</t>
    </r>
    <r>
      <rPr>
        <sz val="9"/>
        <color rgb="FF56677A"/>
        <rFont val="맑은 고딕"/>
        <family val="0"/>
        <charset val="1"/>
      </rPr>
      <t xml:space="preserve">)  ·  </t>
    </r>
    <r>
      <rPr>
        <sz val="9"/>
        <color rgb="FF56677A"/>
        <rFont val="Noto Sans CJK SC"/>
        <family val="2"/>
      </rPr>
      <t xml:space="preserve">인증</t>
    </r>
    <r>
      <rPr>
        <sz val="9"/>
        <color rgb="FF56677A"/>
        <rFont val="맑은 고딕"/>
        <family val="0"/>
        <charset val="1"/>
      </rPr>
      <t xml:space="preserve">: AMR API</t>
    </r>
    <r>
      <rPr>
        <sz val="9"/>
        <color rgb="FF56677A"/>
        <rFont val="Noto Sans CJK SC"/>
        <family val="2"/>
      </rPr>
      <t xml:space="preserve">는 웹 </t>
    </r>
    <r>
      <rPr>
        <sz val="9"/>
        <color rgb="FF56677A"/>
        <rFont val="맑은 고딕"/>
        <family val="0"/>
        <charset val="1"/>
      </rPr>
      <t xml:space="preserve">= </t>
    </r>
    <r>
      <rPr>
        <sz val="9"/>
        <color rgb="FF56677A"/>
        <rFont val="Noto Sans CJK SC"/>
        <family val="2"/>
      </rPr>
      <t xml:space="preserve">팀 관리자</t>
    </r>
    <r>
      <rPr>
        <sz val="9"/>
        <color rgb="FF56677A"/>
        <rFont val="맑은 고딕"/>
        <family val="0"/>
        <charset val="1"/>
      </rPr>
      <t xml:space="preserve">(ADMIN) </t>
    </r>
    <r>
      <rPr>
        <sz val="9"/>
        <color rgb="FF56677A"/>
        <rFont val="Noto Sans CJK SC"/>
        <family val="2"/>
      </rPr>
      <t xml:space="preserve">로그인 세션</t>
    </r>
    <r>
      <rPr>
        <sz val="9"/>
        <color rgb="FF56677A"/>
        <rFont val="맑은 고딕"/>
        <family val="0"/>
        <charset val="1"/>
      </rPr>
      <t xml:space="preserve">, </t>
    </r>
    <r>
      <rPr>
        <sz val="9"/>
        <color rgb="FF56677A"/>
        <rFont val="Noto Sans CJK SC"/>
        <family val="2"/>
      </rPr>
      <t xml:space="preserve">앱 </t>
    </r>
    <r>
      <rPr>
        <sz val="9"/>
        <color rgb="FF56677A"/>
        <rFont val="맑은 고딕"/>
        <family val="0"/>
        <charset val="1"/>
      </rPr>
      <t xml:space="preserve">= X-AMR-Token(24</t>
    </r>
    <r>
      <rPr>
        <sz val="9"/>
        <color rgb="FF56677A"/>
        <rFont val="Noto Sans CJK SC"/>
        <family val="2"/>
      </rPr>
      <t xml:space="preserve">시간</t>
    </r>
    <r>
      <rPr>
        <sz val="9"/>
        <color rgb="FF56677A"/>
        <rFont val="맑은 고딕"/>
        <family val="0"/>
        <charset val="1"/>
      </rPr>
      <t xml:space="preserve">) </t>
    </r>
    <r>
      <rPr>
        <sz val="9"/>
        <color rgb="FF56677A"/>
        <rFont val="Noto Sans CJK SC"/>
        <family val="2"/>
      </rPr>
      <t xml:space="preserve">이 있어야 통과</t>
    </r>
  </si>
  <si>
    <t xml:space="preserve">Method</t>
  </si>
  <si>
    <t xml:space="preserve">URL</t>
  </si>
  <si>
    <t xml:space="preserve">요청</t>
  </si>
  <si>
    <t xml:space="preserve">응답</t>
  </si>
  <si>
    <t xml:space="preserve">인증</t>
  </si>
  <si>
    <t xml:space="preserve">호출</t>
  </si>
  <si>
    <t xml:space="preserve">백엔드</t>
  </si>
  <si>
    <t xml:space="preserve">GET</t>
  </si>
  <si>
    <t xml:space="preserve">/api/amr/health</t>
  </si>
  <si>
    <t xml:space="preserve">연결 확인</t>
  </si>
  <si>
    <t xml:space="preserve">{ ok: true }</t>
  </si>
  <si>
    <t xml:space="preserve">없음</t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</si>
  <si>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</t>
    </r>
  </si>
  <si>
    <t xml:space="preserve">/api/amr/state</t>
  </si>
  <si>
    <r>
      <rPr>
        <sz val="9.5"/>
        <rFont val="Noto Sans CJK SC"/>
        <family val="2"/>
      </rPr>
      <t xml:space="preserve">관제 상태 한 번에 </t>
    </r>
    <r>
      <rPr>
        <sz val="9.5"/>
        <rFont val="맑은 고딕"/>
        <family val="0"/>
        <charset val="1"/>
      </rPr>
      <t xml:space="preserve">(2</t>
    </r>
    <r>
      <rPr>
        <sz val="9.5"/>
        <rFont val="Noto Sans CJK SC"/>
        <family val="2"/>
      </rPr>
      <t xml:space="preserve">초마다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</si>
  <si>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맑은 고딕"/>
        <family val="0"/>
        <charset val="1"/>
      </rPr>
      <t xml:space="preserve">StateView: producerLive · phase · robots · pending · active · events · settings · vehicles(</t>
    </r>
    <r>
      <rPr>
        <sz val="9.5"/>
        <rFont val="Noto Sans CJK SC"/>
        <family val="2"/>
      </rPr>
      <t xml:space="preserve">최근 </t>
    </r>
    <r>
      <rPr>
        <sz val="9.5"/>
        <rFont val="맑은 고딕"/>
        <family val="0"/>
        <charset val="1"/>
      </rPr>
      <t xml:space="preserve">8)</t>
    </r>
  </si>
  <si>
    <t xml:space="preserve">필요</t>
  </si>
  <si>
    <t xml:space="preserve">POST</t>
  </si>
  <si>
    <t xml:space="preserve">/api/amr/telemetry</t>
  </si>
  <si>
    <r>
      <rPr>
        <sz val="9.5"/>
        <rFont val="Noto Sans CJK SC"/>
        <family val="2"/>
      </rPr>
      <t xml:space="preserve">센서 값 저장 </t>
    </r>
    <r>
      <rPr>
        <sz val="9.5"/>
        <rFont val="맑은 고딕"/>
        <family val="0"/>
        <charset val="1"/>
      </rPr>
      <t xml:space="preserve">(2</t>
    </r>
    <r>
      <rPr>
        <sz val="9.5"/>
        <rFont val="Noto Sans CJK SC"/>
        <family val="2"/>
      </rPr>
      <t xml:space="preserve">초마다</t>
    </r>
    <r>
      <rPr>
        <sz val="9.5"/>
        <rFont val="맑은 고딕"/>
        <family val="0"/>
        <charset val="1"/>
      </rPr>
      <t xml:space="preserve">)</t>
    </r>
  </si>
  <si>
    <t xml:space="preserve">TelemetryRequest: phase, items[code, state, vibration, temp, battery, health, cumLoadKg, speed, x, y]</t>
  </si>
  <si>
    <r>
      <rPr>
        <sz val="9.5"/>
        <rFont val="맑은 고딕"/>
        <family val="0"/>
        <charset val="1"/>
      </rPr>
      <t xml:space="preserve">{ saved: </t>
    </r>
    <r>
      <rPr>
        <sz val="9.5"/>
        <rFont val="Noto Sans CJK SC"/>
        <family val="2"/>
      </rPr>
      <t xml:space="preserve">건수 </t>
    </r>
    <r>
      <rPr>
        <sz val="9.5"/>
        <rFont val="맑은 고딕"/>
        <family val="0"/>
        <charset val="1"/>
      </rPr>
      <t xml:space="preserve">}</t>
    </r>
  </si>
  <si>
    <r>
      <rPr>
        <sz val="9.5"/>
        <rFont val="Noto Sans CJK SC"/>
        <family val="2"/>
      </rPr>
      <t xml:space="preserve">웹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시뮬</t>
    </r>
    <r>
      <rPr>
        <sz val="9.5"/>
        <rFont val="맑은 고딕"/>
        <family val="0"/>
        <charset val="1"/>
      </rPr>
      <t xml:space="preserve">)</t>
    </r>
  </si>
  <si>
    <t xml:space="preserve">/api/amr/predictions</t>
  </si>
  <si>
    <r>
      <rPr>
        <sz val="9.5"/>
        <rFont val="Noto Sans CJK SC"/>
        <family val="2"/>
      </rPr>
      <t xml:space="preserve">고장 예측 등록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정비 예약</t>
    </r>
  </si>
  <si>
    <t xml:space="preserve">PredictionRequest: code, rulHours, vibration, slope, cumLoadKg, reason</t>
  </si>
  <si>
    <t xml:space="preserve">MaintView</t>
  </si>
  <si>
    <t xml:space="preserve">/api/amr/maintenance/{id}/approve</t>
  </si>
  <si>
    <r>
      <rPr>
        <sz val="9.5"/>
        <rFont val="Noto Sans CJK SC"/>
        <family val="2"/>
      </rPr>
      <t xml:space="preserve">정비 승인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예비기 투입</t>
    </r>
  </si>
  <si>
    <t xml:space="preserve">ApproveRequest: by</t>
  </si>
  <si>
    <t xml:space="preserve">/api/amr/maintenance/{id}/start</t>
  </si>
  <si>
    <t xml:space="preserve">정비 시작</t>
  </si>
  <si>
    <t xml:space="preserve">/api/amr/maintenance/{id}/done</t>
  </si>
  <si>
    <t xml:space="preserve">정비 완료</t>
  </si>
  <si>
    <t xml:space="preserve">/api/amr/maintenance?limit=10</t>
  </si>
  <si>
    <t xml:space="preserve">정비 이력</t>
  </si>
  <si>
    <t xml:space="preserve">limit</t>
  </si>
  <si>
    <t xml:space="preserve">MaintView[]</t>
  </si>
  <si>
    <t xml:space="preserve">/api/amr/settings</t>
  </si>
  <si>
    <t xml:space="preserve">운영 기준 조회</t>
  </si>
  <si>
    <t xml:space="preserve">SettingsView: rulThresholdHours, chargeAtPct, updatedBy, updatedAt</t>
  </si>
  <si>
    <t xml:space="preserve">PUT</t>
  </si>
  <si>
    <t xml:space="preserve">운영 기준 변경</t>
  </si>
  <si>
    <t xml:space="preserve">SettingsRequest: rulThresholdHours, chargeAtPct, by</t>
  </si>
  <si>
    <t xml:space="preserve">SettingsView</t>
  </si>
  <si>
    <t xml:space="preserve">/api/amr/events</t>
  </si>
  <si>
    <t xml:space="preserve">관제 이벤트 기록</t>
  </si>
  <si>
    <t xml:space="preserve">EventRequest: code, level, phase, message</t>
  </si>
  <si>
    <t xml:space="preserve">/api/amr/robots/{code}/telemetry?minutes=5</t>
  </si>
  <si>
    <r>
      <rPr>
        <sz val="9.5"/>
        <rFont val="Noto Sans CJK SC"/>
        <family val="2"/>
      </rPr>
      <t xml:space="preserve">로봇 센서 이력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차트</t>
    </r>
    <r>
      <rPr>
        <sz val="9.5"/>
        <rFont val="맑은 고딕"/>
        <family val="0"/>
        <charset val="1"/>
      </rPr>
      <t xml:space="preserve">)</t>
    </r>
  </si>
  <si>
    <t xml:space="preserve">minutes</t>
  </si>
  <si>
    <t xml:space="preserve">SensorPoint[]: t, vibration, health, state</t>
  </si>
  <si>
    <t xml:space="preserve">앱</t>
  </si>
  <si>
    <t xml:space="preserve">/api/amr/vehicles/scan</t>
  </si>
  <si>
    <r>
      <rPr>
        <sz val="9.5"/>
        <rFont val="Noto Sans CJK SC"/>
        <family val="2"/>
      </rPr>
      <t xml:space="preserve">번호판 인식 요청 →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서버 호출 → </t>
    </r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판정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기록</t>
    </r>
  </si>
  <si>
    <t xml:space="preserve">VehicleScanRequest: direction(ENTRY/EXIT), kind, dock, vehicleNo, boxCount, barcodes[], destHub</t>
  </si>
  <si>
    <t xml:space="preserve">VehicleView</t>
  </si>
  <si>
    <t xml:space="preserve">/api/amr/vehicles?limit=20</t>
  </si>
  <si>
    <t xml:space="preserve">입출차 기록</t>
  </si>
  <si>
    <t xml:space="preserve">VehicleView[]</t>
  </si>
  <si>
    <t xml:space="preserve">/api/amr/vehicles/{id}/photo</t>
  </si>
  <si>
    <r>
      <rPr>
        <sz val="9.5"/>
        <rFont val="Noto Sans CJK SC"/>
        <family val="2"/>
      </rPr>
      <t xml:space="preserve">인식 사진 </t>
    </r>
    <r>
      <rPr>
        <sz val="9.5"/>
        <rFont val="맑은 고딕"/>
        <family val="0"/>
        <charset val="1"/>
      </rPr>
      <t xml:space="preserve">(OCR </t>
    </r>
    <r>
      <rPr>
        <sz val="9.5"/>
        <rFont val="Noto Sans CJK SC"/>
        <family val="2"/>
      </rPr>
      <t xml:space="preserve">서버 사진을 백엔드가 대신 전달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</si>
  <si>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앱은 </t>
    </r>
    <r>
      <rPr>
        <sz val="9.5"/>
        <rFont val="맑은 고딕"/>
        <family val="0"/>
        <charset val="1"/>
      </rPr>
      <t xml:space="preserve">?t=</t>
    </r>
    <r>
      <rPr>
        <sz val="9.5"/>
        <rFont val="Noto Sans CJK SC"/>
        <family val="2"/>
      </rPr>
      <t xml:space="preserve">출입증</t>
    </r>
  </si>
  <si>
    <t xml:space="preserve">image/jpeg</t>
  </si>
  <si>
    <r>
      <rPr>
        <sz val="9.5"/>
        <rFont val="Noto Sans CJK SC"/>
        <family val="2"/>
      </rPr>
      <t xml:space="preserve">필요 </t>
    </r>
    <r>
      <rPr>
        <sz val="9.5"/>
        <rFont val="맑은 고딕"/>
        <family val="0"/>
        <charset val="1"/>
      </rPr>
      <t xml:space="preserve">(?t= </t>
    </r>
    <r>
      <rPr>
        <sz val="9.5"/>
        <rFont val="Noto Sans CJK SC"/>
        <family val="2"/>
      </rPr>
      <t xml:space="preserve">허용</t>
    </r>
    <r>
      <rPr>
        <sz val="9.5"/>
        <rFont val="맑은 고딕"/>
        <family val="0"/>
        <charset val="1"/>
      </rPr>
      <t xml:space="preserve">)</t>
    </r>
  </si>
  <si>
    <t xml:space="preserve">/api/amr/vehicles/registry</t>
  </si>
  <si>
    <t xml:space="preserve">등록 차량 목록</t>
  </si>
  <si>
    <t xml:space="preserve">RegistryView[]: plate, kind, carrier, memo</t>
  </si>
  <si>
    <t xml:space="preserve">웹</t>
  </si>
  <si>
    <t xml:space="preserve">/api/amr/tasks</t>
  </si>
  <si>
    <r>
      <rPr>
        <sz val="9.5"/>
        <rFont val="Noto Sans CJK SC"/>
        <family val="2"/>
      </rPr>
      <t xml:space="preserve">운반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건 기록 </t>
    </r>
    <r>
      <rPr>
        <sz val="9.5"/>
        <rFont val="맑은 고딕"/>
        <family val="0"/>
        <charset val="1"/>
      </rPr>
      <t xml:space="preserve">(KPI)</t>
    </r>
  </si>
  <si>
    <t xml:space="preserve">TaskRequest: code, taskType, waybillNo, barcode, hub, handleType, weightKg, fromLoc, toLoc, interWaitSec, startedAt, finishedAt</t>
  </si>
  <si>
    <t xml:space="preserve">{ id }</t>
  </si>
  <si>
    <t xml:space="preserve">/api/amr/kpi</t>
  </si>
  <si>
    <r>
      <rPr>
        <sz val="9.5"/>
        <rFont val="Noto Sans CJK SC"/>
        <family val="2"/>
      </rPr>
      <t xml:space="preserve">오늘 </t>
    </r>
    <r>
      <rPr>
        <sz val="9.5"/>
        <rFont val="맑은 고딕"/>
        <family val="0"/>
        <charset val="1"/>
      </rPr>
      <t xml:space="preserve">KPI</t>
    </r>
  </si>
  <si>
    <t xml:space="preserve">KpiView: today, yesterdaySameTime, hourly[], avgTransportSec, avgInterWaitSec, interWaits, utilization[], entries, exits, blocks, avgOcrConfidence, at</t>
  </si>
  <si>
    <t xml:space="preserve">/api/amr/auth/status</t>
  </si>
  <si>
    <r>
      <rPr>
        <sz val="9.5"/>
        <rFont val="Noto Sans CJK SC"/>
        <family val="2"/>
      </rPr>
      <t xml:space="preserve">내 출입증 유효 여부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관리자 로그인 여부</t>
    </r>
  </si>
  <si>
    <r>
      <rPr>
        <sz val="9.5"/>
        <rFont val="Noto Sans CJK SC"/>
        <family val="2"/>
      </rPr>
      <t xml:space="preserve">헤더 </t>
    </r>
    <r>
      <rPr>
        <sz val="9.5"/>
        <rFont val="맑은 고딕"/>
        <family val="0"/>
        <charset val="1"/>
      </rPr>
      <t xml:space="preserve">X-AMR-Token</t>
    </r>
  </si>
  <si>
    <t xml:space="preserve">{ valid, expiresAt, admin }</t>
  </si>
  <si>
    <t xml:space="preserve">/api/amr/auth/code</t>
  </si>
  <si>
    <r>
      <rPr>
        <sz val="9.5"/>
        <rFont val="Noto Sans CJK SC"/>
        <family val="2"/>
      </rPr>
      <t xml:space="preserve">앱 연결 </t>
    </r>
    <r>
      <rPr>
        <sz val="9.5"/>
        <rFont val="맑은 고딕"/>
        <family val="0"/>
        <charset val="1"/>
      </rPr>
      <t xml:space="preserve">6</t>
    </r>
    <r>
      <rPr>
        <sz val="9.5"/>
        <rFont val="Noto Sans CJK SC"/>
        <family val="2"/>
      </rPr>
      <t xml:space="preserve">자리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노트북 주소 </t>
    </r>
    <r>
      <rPr>
        <sz val="9.5"/>
        <rFont val="맑은 고딕"/>
        <family val="0"/>
        <charset val="1"/>
      </rPr>
      <t xml:space="preserve">(QR </t>
    </r>
    <r>
      <rPr>
        <sz val="9.5"/>
        <rFont val="Noto Sans CJK SC"/>
        <family val="2"/>
      </rPr>
      <t xml:space="preserve">내용</t>
    </r>
    <r>
      <rPr>
        <sz val="9.5"/>
        <rFont val="맑은 고딕"/>
        <family val="0"/>
        <charset val="1"/>
      </rPr>
      <t xml:space="preserve">)</t>
    </r>
  </si>
  <si>
    <t xml:space="preserve">팀 관리자 로그인 쿠키</t>
  </si>
  <si>
    <t xml:space="preserve">{ code, secondsLeft, period, lanBase }</t>
  </si>
  <si>
    <r>
      <rPr>
        <sz val="9.5"/>
        <rFont val="Noto Sans CJK SC"/>
        <family val="2"/>
      </rPr>
      <t xml:space="preserve">팀 </t>
    </r>
    <r>
      <rPr>
        <sz val="9.5"/>
        <rFont val="맑은 고딕"/>
        <family val="0"/>
        <charset val="1"/>
      </rPr>
      <t xml:space="preserve">ADMIN</t>
    </r>
  </si>
  <si>
    <t xml:space="preserve">/api/amr/auth/rotate</t>
  </si>
  <si>
    <r>
      <rPr>
        <sz val="9.5"/>
        <rFont val="Noto Sans CJK SC"/>
        <family val="2"/>
      </rPr>
      <t xml:space="preserve">모든 앱 로그아웃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비밀키 새로 만들기</t>
    </r>
    <r>
      <rPr>
        <sz val="9.5"/>
        <rFont val="맑은 고딕"/>
        <family val="0"/>
        <charset val="1"/>
      </rPr>
      <t xml:space="preserve">)</t>
    </r>
  </si>
  <si>
    <t xml:space="preserve">/api/amr/auth/login</t>
  </si>
  <si>
    <r>
      <rPr>
        <sz val="9.5"/>
        <rFont val="맑은 고딕"/>
        <family val="0"/>
        <charset val="1"/>
      </rPr>
      <t xml:space="preserve">6</t>
    </r>
    <r>
      <rPr>
        <sz val="9.5"/>
        <rFont val="Noto Sans CJK SC"/>
        <family val="2"/>
      </rPr>
      <t xml:space="preserve">자리 → </t>
    </r>
    <r>
      <rPr>
        <sz val="9.5"/>
        <rFont val="맑은 고딕"/>
        <family val="0"/>
        <charset val="1"/>
      </rPr>
      <t xml:space="preserve">24</t>
    </r>
    <r>
      <rPr>
        <sz val="9.5"/>
        <rFont val="Noto Sans CJK SC"/>
        <family val="2"/>
      </rPr>
      <t xml:space="preserve">시간 출입증</t>
    </r>
  </si>
  <si>
    <t xml:space="preserve">{ code, client }</t>
  </si>
  <si>
    <r>
      <rPr>
        <sz val="9.5"/>
        <rFont val="맑은 고딕"/>
        <family val="0"/>
        <charset val="1"/>
      </rPr>
      <t xml:space="preserve">{ token, expiresAt, client } · </t>
    </r>
    <r>
      <rPr>
        <sz val="9.5"/>
        <rFont val="Noto Sans CJK SC"/>
        <family val="2"/>
      </rPr>
      <t xml:space="preserve">실패 시 </t>
    </r>
    <r>
      <rPr>
        <sz val="9.5"/>
        <rFont val="맑은 고딕"/>
        <family val="0"/>
        <charset val="1"/>
      </rPr>
      <t xml:space="preserve">{ message } (401 / 429)</t>
    </r>
  </si>
  <si>
    <t xml:space="preserve">/api/amr/auth/logout</t>
  </si>
  <si>
    <t xml:space="preserve">출입증 폐기</t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</si>
  <si>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서버</t>
    </r>
  </si>
  <si>
    <t xml:space="preserve">http://localhost:8001/hub/scan</t>
  </si>
  <si>
    <r>
      <rPr>
        <sz val="9.5"/>
        <rFont val="Noto Sans CJK SC"/>
        <family val="2"/>
      </rPr>
      <t xml:space="preserve">허브 사진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장 번호판 인식 </t>
    </r>
    <r>
      <rPr>
        <sz val="9.5"/>
        <rFont val="맑은 고딕"/>
        <family val="0"/>
        <charset val="1"/>
      </rPr>
      <t xml:space="preserve">(YOLO + CRNN)</t>
    </r>
  </si>
  <si>
    <r>
      <rPr>
        <sz val="9.5"/>
        <rFont val="Noto Sans CJK SC"/>
        <family val="2"/>
      </rPr>
      <t xml:space="preserve">쿼리</t>
    </r>
    <r>
      <rPr>
        <sz val="9.5"/>
        <rFont val="맑은 고딕"/>
        <family val="0"/>
        <charset val="1"/>
      </rPr>
      <t xml:space="preserve">: direction, kind, vehicleNo(</t>
    </r>
    <r>
      <rPr>
        <sz val="9.5"/>
        <rFont val="Noto Sans CJK SC"/>
        <family val="2"/>
      </rPr>
      <t xml:space="preserve">출차</t>
    </r>
    <r>
      <rPr>
        <sz val="9.5"/>
        <rFont val="맑은 고딕"/>
        <family val="0"/>
        <charset val="1"/>
      </rPr>
      <t xml:space="preserve">), exclude</t>
    </r>
  </si>
  <si>
    <t xml:space="preserve">direction, kind, fileName, photoPlate, recognizedPlate, engine, detConfidence, ocrConfidence, imageUrl</t>
  </si>
  <si>
    <r>
      <rPr>
        <sz val="9.5"/>
        <rFont val="맑은 고딕"/>
        <family val="0"/>
        <charset val="1"/>
      </rPr>
      <t xml:space="preserve">http://localhost:8001/hub-images/{</t>
    </r>
    <r>
      <rPr>
        <sz val="9.5"/>
        <rFont val="Noto Sans CJK SC"/>
        <family val="2"/>
      </rPr>
      <t xml:space="preserve">폴더</t>
    </r>
    <r>
      <rPr>
        <sz val="9.5"/>
        <rFont val="맑은 고딕"/>
        <family val="0"/>
        <charset val="1"/>
      </rPr>
      <t xml:space="preserve">}/{</t>
    </r>
    <r>
      <rPr>
        <sz val="9.5"/>
        <rFont val="Noto Sans CJK SC"/>
        <family val="2"/>
      </rPr>
      <t xml:space="preserve">파일</t>
    </r>
    <r>
      <rPr>
        <sz val="9.5"/>
        <rFont val="맑은 고딕"/>
        <family val="0"/>
        <charset val="1"/>
      </rPr>
      <t xml:space="preserve">}</t>
    </r>
  </si>
  <si>
    <t xml:space="preserve">인식 사진 파일</t>
  </si>
  <si>
    <t xml:space="preserve">이미지</t>
  </si>
  <si>
    <r>
      <rPr>
        <sz val="9.5"/>
        <rFont val="Noto Sans CJK SC"/>
        <family val="2"/>
      </rPr>
      <t xml:space="preserve">백엔드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웹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예비</t>
    </r>
    <r>
      <rPr>
        <sz val="9.5"/>
        <rFont val="맑은 고딕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</si>
  <si>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백엔드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인증 </t>
    </r>
    <r>
      <rPr>
        <b val="true"/>
        <sz val="11"/>
        <rFont val="맑은 고딕"/>
        <family val="0"/>
        <charset val="1"/>
      </rPr>
      <t xml:space="preserve">API </t>
    </r>
    <r>
      <rPr>
        <b val="true"/>
        <sz val="11"/>
        <rFont val="Noto Sans CJK SC"/>
        <family val="2"/>
      </rPr>
      <t xml:space="preserve">수</t>
    </r>
  </si>
  <si>
    <t xml:space="preserve">실패 응답 형식</t>
  </si>
  <si>
    <r>
      <rPr>
        <sz val="11"/>
        <color theme="1"/>
        <rFont val="Noto Sans CJK SC"/>
        <family val="2"/>
      </rPr>
      <t xml:space="preserve">인증 실패 </t>
    </r>
    <r>
      <rPr>
        <sz val="11"/>
        <color theme="1"/>
        <rFont val="Calibri"/>
        <family val="2"/>
        <charset val="1"/>
      </rPr>
      <t xml:space="preserve">401 {"error":"AMR_AUTH","message":"AMR </t>
    </r>
    <r>
      <rPr>
        <sz val="11"/>
        <color theme="1"/>
        <rFont val="Noto Sans CJK SC"/>
        <family val="2"/>
      </rPr>
      <t xml:space="preserve">관리자 인증이 필요합니다</t>
    </r>
    <r>
      <rPr>
        <sz val="11"/>
        <color theme="1"/>
        <rFont val="Calibri"/>
        <family val="2"/>
        <charset val="1"/>
      </rPr>
      <t xml:space="preserve">"} · </t>
    </r>
    <r>
      <rPr>
        <sz val="11"/>
        <color theme="1"/>
        <rFont val="Noto Sans CJK SC"/>
        <family val="2"/>
      </rPr>
      <t xml:space="preserve">그 외 </t>
    </r>
    <r>
      <rPr>
        <sz val="11"/>
        <color theme="1"/>
        <rFont val="Calibri"/>
        <family val="2"/>
        <charset val="1"/>
      </rPr>
      <t xml:space="preserve">{ message: </t>
    </r>
    <r>
      <rPr>
        <sz val="11"/>
        <color theme="1"/>
        <rFont val="Noto Sans CJK SC"/>
        <family val="2"/>
      </rPr>
      <t xml:space="preserve">이유 </t>
    </r>
    <r>
      <rPr>
        <sz val="11"/>
        <color theme="1"/>
        <rFont val="Calibri"/>
        <family val="2"/>
        <charset val="1"/>
      </rPr>
      <t xml:space="preserve">}</t>
    </r>
  </si>
  <si>
    <r>
      <rPr>
        <b val="true"/>
        <sz val="15"/>
        <color rgb="FF0B1520"/>
        <rFont val="맑은 고딕"/>
        <family val="0"/>
        <charset val="1"/>
      </rPr>
      <t xml:space="preserve">13 </t>
    </r>
    <r>
      <rPr>
        <b val="true"/>
        <sz val="15"/>
        <color rgb="FF0B1520"/>
        <rFont val="Noto Sans CJK SC"/>
        <family val="2"/>
      </rPr>
      <t xml:space="preserve">개발일지</t>
    </r>
  </si>
  <si>
    <r>
      <rPr>
        <sz val="9"/>
        <color rgb="FF56677A"/>
        <rFont val="Noto Sans CJK SC"/>
        <family val="2"/>
      </rPr>
      <t xml:space="preserve">허브 </t>
    </r>
    <r>
      <rPr>
        <sz val="9"/>
        <color rgb="FF56677A"/>
        <rFont val="맑은 고딕"/>
        <family val="0"/>
        <charset val="1"/>
      </rPr>
      <t xml:space="preserve">AMR </t>
    </r>
    <r>
      <rPr>
        <sz val="9"/>
        <color rgb="FF56677A"/>
        <rFont val="Noto Sans CJK SC"/>
        <family val="2"/>
      </rPr>
      <t xml:space="preserve">디지털 트윈 관제 </t>
    </r>
    <r>
      <rPr>
        <sz val="9"/>
        <color rgb="FF56677A"/>
        <rFont val="맑은 고딕"/>
        <family val="0"/>
        <charset val="1"/>
      </rPr>
      <t xml:space="preserve">(S-CARGO </t>
    </r>
    <r>
      <rPr>
        <sz val="9"/>
        <color rgb="FF56677A"/>
        <rFont val="Noto Sans CJK SC"/>
        <family val="2"/>
      </rPr>
      <t xml:space="preserve">허브 파트 </t>
    </r>
    <r>
      <rPr>
        <sz val="9"/>
        <color rgb="FF56677A"/>
        <rFont val="맑은 고딕"/>
        <family val="0"/>
        <charset val="1"/>
      </rPr>
      <t xml:space="preserve">· 1</t>
    </r>
    <r>
      <rPr>
        <sz val="9"/>
        <color rgb="FF56677A"/>
        <rFont val="Noto Sans CJK SC"/>
        <family val="2"/>
      </rPr>
      <t xml:space="preserve">인 개발</t>
    </r>
    <r>
      <rPr>
        <sz val="9"/>
        <color rgb="FF56677A"/>
        <rFont val="맑은 고딕"/>
        <family val="0"/>
        <charset val="1"/>
      </rPr>
      <t xml:space="preserve">)  ·  </t>
    </r>
    <r>
      <rPr>
        <sz val="9"/>
        <color rgb="FF56677A"/>
        <rFont val="Noto Sans CJK SC"/>
        <family val="2"/>
      </rPr>
      <t xml:space="preserve">당시 작성본이 없어 커밋 기록 </t>
    </r>
    <r>
      <rPr>
        <sz val="9"/>
        <color rgb="FF56677A"/>
        <rFont val="맑은 고딕"/>
        <family val="0"/>
        <charset val="1"/>
      </rPr>
      <t xml:space="preserve">· </t>
    </r>
    <r>
      <rPr>
        <sz val="9"/>
        <color rgb="FF56677A"/>
        <rFont val="Noto Sans CJK SC"/>
        <family val="2"/>
      </rPr>
      <t xml:space="preserve">해결한 문제로 날짜별 재구성</t>
    </r>
  </si>
  <si>
    <t xml:space="preserve">날짜</t>
  </si>
  <si>
    <t xml:space="preserve">작업 내용</t>
  </si>
  <si>
    <r>
      <rPr>
        <b val="true"/>
        <sz val="10"/>
        <color rgb="FFFFFFFF"/>
        <rFont val="Noto Sans CJK SC"/>
        <family val="2"/>
      </rPr>
      <t xml:space="preserve">문제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해결</t>
    </r>
  </si>
  <si>
    <t xml:space="preserve">2026-10-08</t>
  </si>
  <si>
    <r>
      <rPr>
        <sz val="9.5"/>
        <rFont val="Noto Sans CJK SC"/>
        <family val="2"/>
      </rPr>
      <t xml:space="preserve">허브 </t>
    </r>
    <r>
      <rPr>
        <sz val="9.5"/>
        <rFont val="맑은 고딕"/>
        <family val="0"/>
        <charset val="1"/>
      </rPr>
      <t xml:space="preserve">AMR 3D </t>
    </r>
    <r>
      <rPr>
        <sz val="9.5"/>
        <rFont val="Noto Sans CJK SC"/>
        <family val="2"/>
      </rPr>
      <t xml:space="preserve">디지털 트윈 착수</t>
    </r>
    <r>
      <rPr>
        <sz val="9.5"/>
        <rFont val="맑은 고딕"/>
        <family val="0"/>
        <charset val="1"/>
      </rPr>
      <t xml:space="preserve">: </t>
    </r>
    <r>
      <rPr>
        <sz val="9.5"/>
        <rFont val="Noto Sans CJK SC"/>
        <family val="2"/>
      </rPr>
      <t xml:space="preserve">창고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랙 </t>
    </r>
    <r>
      <rPr>
        <sz val="9.5"/>
        <rFont val="맑은 고딕"/>
        <family val="0"/>
        <charset val="1"/>
      </rPr>
      <t xml:space="preserve">· AMR · </t>
    </r>
    <r>
      <rPr>
        <sz val="9.5"/>
        <rFont val="Noto Sans CJK SC"/>
        <family val="2"/>
      </rPr>
      <t xml:space="preserve">지게차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트럭 모델링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관제 화면</t>
    </r>
    <r>
      <rPr>
        <sz val="9.5"/>
        <rFont val="맑은 고딕"/>
        <family val="0"/>
        <charset val="1"/>
      </rPr>
      <t xml:space="preserve">(Vue) </t>
    </r>
    <r>
      <rPr>
        <sz val="9.5"/>
        <rFont val="Noto Sans CJK SC"/>
        <family val="2"/>
      </rPr>
      <t xml:space="preserve">구성</t>
    </r>
  </si>
  <si>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코드 태그 </t>
    </r>
    <r>
      <rPr>
        <sz val="9.5"/>
        <rFont val="맑은 고딕"/>
        <family val="0"/>
        <charset val="1"/>
      </rPr>
      <t xml:space="preserve">26.10.08)</t>
    </r>
  </si>
  <si>
    <t xml:space="preserve">2026-10-09</t>
  </si>
  <si>
    <r>
      <rPr>
        <sz val="9.5"/>
        <rFont val="Noto Sans CJK SC"/>
        <family val="2"/>
      </rPr>
      <t xml:space="preserve">관리자 앱</t>
    </r>
    <r>
      <rPr>
        <sz val="9.5"/>
        <rFont val="맑은 고딕"/>
        <family val="0"/>
        <charset val="1"/>
      </rPr>
      <t xml:space="preserve">(Capacitor Android) </t>
    </r>
    <r>
      <rPr>
        <sz val="9.5"/>
        <rFont val="Noto Sans CJK SC"/>
        <family val="2"/>
      </rPr>
      <t xml:space="preserve">생성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디지털 트윈 기술 정리 </t>
    </r>
    <r>
      <rPr>
        <sz val="9.5"/>
        <rFont val="맑은 고딕"/>
        <family val="0"/>
        <charset val="1"/>
      </rPr>
      <t xml:space="preserve">PPT</t>
    </r>
  </si>
  <si>
    <t xml:space="preserve">2026-10-13</t>
  </si>
  <si>
    <r>
      <rPr>
        <sz val="9.5"/>
        <rFont val="Noto Sans CJK SC"/>
        <family val="2"/>
      </rPr>
      <t xml:space="preserve">팀 저장소 구조 정리 </t>
    </r>
    <r>
      <rPr>
        <sz val="9.5"/>
        <rFont val="맑은 고딕"/>
        <family val="0"/>
        <charset val="1"/>
      </rPr>
      <t xml:space="preserve">· AMR </t>
    </r>
    <r>
      <rPr>
        <sz val="9.5"/>
        <rFont val="Noto Sans CJK SC"/>
        <family val="2"/>
      </rPr>
      <t xml:space="preserve">관리자 앱 병합</t>
    </r>
  </si>
  <si>
    <t xml:space="preserve">e8f0da6, c2342c0</t>
  </si>
  <si>
    <t xml:space="preserve">2026-10-14</t>
  </si>
  <si>
    <r>
      <rPr>
        <sz val="9.5"/>
        <rFont val="맑은 고딕"/>
        <family val="0"/>
        <charset val="1"/>
      </rPr>
      <t xml:space="preserve">DB </t>
    </r>
    <r>
      <rPr>
        <sz val="9.5"/>
        <rFont val="Noto Sans CJK SC"/>
        <family val="2"/>
      </rPr>
      <t xml:space="preserve">연동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로봇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센서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예측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정비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이벤트</t>
    </r>
    <r>
      <rPr>
        <sz val="9.5"/>
        <rFont val="맑은 고딕"/>
        <family val="0"/>
        <charset val="1"/>
      </rPr>
      <t xml:space="preserve">), </t>
    </r>
    <r>
      <rPr>
        <sz val="9.5"/>
        <rFont val="Noto Sans CJK SC"/>
        <family val="2"/>
      </rPr>
      <t xml:space="preserve">웹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앱 정비 승인 연동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고장 로봇 기준을 누적 운반량으로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WiFi </t>
    </r>
    <r>
      <rPr>
        <sz val="9.5"/>
        <rFont val="Noto Sans CJK SC"/>
        <family val="2"/>
      </rPr>
      <t xml:space="preserve">연결</t>
    </r>
  </si>
  <si>
    <r>
      <rPr>
        <sz val="9.5"/>
        <rFont val="Noto Sans CJK SC"/>
        <family val="2"/>
      </rPr>
      <t xml:space="preserve">앱만 </t>
    </r>
    <r>
      <rPr>
        <sz val="9.5"/>
        <rFont val="맑은 고딕"/>
        <family val="0"/>
        <charset val="1"/>
      </rPr>
      <t xml:space="preserve">WiFi </t>
    </r>
    <r>
      <rPr>
        <sz val="9.5"/>
        <rFont val="Noto Sans CJK SC"/>
        <family val="2"/>
      </rPr>
      <t xml:space="preserve">서버 연결 실패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휴대폰 크롬은 됨</t>
    </r>
    <r>
      <rPr>
        <sz val="9.5"/>
        <rFont val="맑은 고딕"/>
        <family val="0"/>
        <charset val="1"/>
      </rPr>
      <t xml:space="preserve">): WebView</t>
    </r>
    <r>
      <rPr>
        <sz val="9.5"/>
        <rFont val="Noto Sans CJK SC"/>
        <family val="2"/>
      </rPr>
      <t xml:space="preserve">가 사설 </t>
    </r>
    <r>
      <rPr>
        <sz val="9.5"/>
        <rFont val="맑은 고딕"/>
        <family val="0"/>
        <charset val="1"/>
      </rPr>
      <t xml:space="preserve">IP </t>
    </r>
    <r>
      <rPr>
        <sz val="9.5"/>
        <rFont val="Noto Sans CJK SC"/>
        <family val="2"/>
      </rPr>
      <t xml:space="preserve">요청을 막음 → </t>
    </r>
    <r>
      <rPr>
        <sz val="9.5"/>
        <rFont val="맑은 고딕"/>
        <family val="0"/>
        <charset val="1"/>
      </rPr>
      <t xml:space="preserve">CapacitorHttp(</t>
    </r>
    <r>
      <rPr>
        <sz val="9.5"/>
        <rFont val="Noto Sans CJK SC"/>
        <family val="2"/>
      </rPr>
      <t xml:space="preserve">네이티브 통신</t>
    </r>
    <r>
      <rPr>
        <sz val="9.5"/>
        <rFont val="맑은 고딕"/>
        <family val="0"/>
        <charset val="1"/>
      </rPr>
      <t xml:space="preserve">)</t>
    </r>
  </si>
  <si>
    <t xml:space="preserve">d72f30c, 1ac2bc3</t>
  </si>
  <si>
    <t xml:space="preserve">2026-10-15</t>
  </si>
  <si>
    <r>
      <rPr>
        <sz val="9.5"/>
        <rFont val="Noto Sans CJK SC"/>
        <family val="2"/>
      </rPr>
      <t xml:space="preserve">승인 버튼 → 운영 기준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정비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충전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설정으로 변경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자동 정비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충전</t>
    </r>
  </si>
  <si>
    <t xml:space="preserve">승인 버튼은 놓치면 고장 → 관리자는 기준만 정하고 나머지는 자동</t>
  </si>
  <si>
    <r>
      <rPr>
        <sz val="9.5"/>
        <rFont val="Noto Sans CJK SC"/>
        <family val="2"/>
      </rPr>
      <t xml:space="preserve">입구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출구 번호판 </t>
    </r>
    <r>
      <rPr>
        <sz val="9.5"/>
        <rFont val="맑은 고딕"/>
        <family val="0"/>
        <charset val="1"/>
      </rPr>
      <t xml:space="preserve">OCR(1</t>
    </r>
    <r>
      <rPr>
        <sz val="9.5"/>
        <rFont val="Noto Sans CJK SC"/>
        <family val="2"/>
      </rPr>
      <t xml:space="preserve">차 </t>
    </r>
    <r>
      <rPr>
        <sz val="9.5"/>
        <rFont val="맑은 고딕"/>
        <family val="0"/>
        <charset val="1"/>
      </rPr>
      <t xml:space="preserve">YOLO + CRNN </t>
    </r>
    <r>
      <rPr>
        <sz val="9.5"/>
        <rFont val="Noto Sans CJK SC"/>
        <family val="2"/>
      </rPr>
      <t xml:space="preserve">재사용</t>
    </r>
    <r>
      <rPr>
        <sz val="9.5"/>
        <rFont val="맑은 고딕"/>
        <family val="0"/>
        <charset val="1"/>
      </rPr>
      <t xml:space="preserve">), DB </t>
    </r>
    <r>
      <rPr>
        <sz val="9.5"/>
        <rFont val="Noto Sans CJK SC"/>
        <family val="2"/>
      </rPr>
      <t xml:space="preserve">차종 판정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상자 </t>
    </r>
    <r>
      <rPr>
        <sz val="9.5"/>
        <rFont val="맑은 고딕"/>
        <family val="0"/>
        <charset val="1"/>
      </rPr>
      <t xml:space="preserve">EAN-13 </t>
    </r>
    <r>
      <rPr>
        <sz val="9.5"/>
        <rFont val="Noto Sans CJK SC"/>
        <family val="2"/>
      </rPr>
      <t xml:space="preserve">바코드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헤더 배지 정리</t>
    </r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</si>
  <si>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서버 실행 실패</t>
    </r>
    <r>
      <rPr>
        <sz val="9.5"/>
        <rFont val="맑은 고딕"/>
        <family val="0"/>
        <charset val="1"/>
      </rPr>
      <t xml:space="preserve">(No module named uvicorn): </t>
    </r>
    <r>
      <rPr>
        <sz val="9.5"/>
        <rFont val="Noto Sans CJK SC"/>
        <family val="2"/>
      </rPr>
      <t xml:space="preserve">기본 파이썬이 </t>
    </r>
    <r>
      <rPr>
        <sz val="9.5"/>
        <rFont val="맑은 고딕"/>
        <family val="0"/>
        <charset val="1"/>
      </rPr>
      <t xml:space="preserve">3.14 → </t>
    </r>
    <r>
      <rPr>
        <sz val="9.5"/>
        <rFont val="Noto Sans CJK SC"/>
        <family val="2"/>
      </rPr>
      <t xml:space="preserve">아나콘다 </t>
    </r>
    <r>
      <rPr>
        <sz val="9.5"/>
        <rFont val="맑은 고딕"/>
        <family val="0"/>
        <charset val="1"/>
      </rPr>
      <t xml:space="preserve">yolo </t>
    </r>
    <r>
      <rPr>
        <sz val="9.5"/>
        <rFont val="Noto Sans CJK SC"/>
        <family val="2"/>
      </rPr>
      <t xml:space="preserve">환경을 찾아 실행하는 </t>
    </r>
    <r>
      <rPr>
        <sz val="9.5"/>
        <rFont val="맑은 고딕"/>
        <family val="0"/>
        <charset val="1"/>
      </rPr>
      <t xml:space="preserve">bat</t>
    </r>
  </si>
  <si>
    <t xml:space="preserve">a271183, 6e45cd8, b330d6e, bfadf51</t>
  </si>
  <si>
    <r>
      <rPr>
        <sz val="9.5"/>
        <rFont val="Noto Sans CJK SC"/>
        <family val="2"/>
      </rPr>
      <t xml:space="preserve">앱을 켤 때도 도크별 최근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결과 표시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입차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화면 연출</t>
    </r>
  </si>
  <si>
    <r>
      <rPr>
        <sz val="9.5"/>
        <rFont val="Noto Sans CJK SC"/>
        <family val="2"/>
      </rPr>
      <t xml:space="preserve">입차 인식이 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나갈 때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처럼 보임</t>
    </r>
    <r>
      <rPr>
        <sz val="9.5"/>
        <rFont val="맑은 고딕"/>
        <family val="0"/>
        <charset val="1"/>
      </rPr>
      <t xml:space="preserve">: </t>
    </r>
    <r>
      <rPr>
        <sz val="9.5"/>
        <rFont val="Noto Sans CJK SC"/>
        <family val="2"/>
      </rPr>
      <t xml:space="preserve">게이트가 화면 밖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인식이 빨라 정지 장면 없음 → 게이트를 도크 쪽으로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최소 </t>
    </r>
    <r>
      <rPr>
        <sz val="9.5"/>
        <rFont val="맑은 고딕"/>
        <family val="0"/>
        <charset val="1"/>
      </rPr>
      <t xml:space="preserve">2.5</t>
    </r>
    <r>
      <rPr>
        <sz val="9.5"/>
        <rFont val="Noto Sans CJK SC"/>
        <family val="2"/>
      </rPr>
      <t xml:space="preserve">초 정지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스캔 빛</t>
    </r>
  </si>
  <si>
    <t xml:space="preserve">34b3e62, 059165e</t>
  </si>
  <si>
    <r>
      <rPr>
        <sz val="9.5"/>
        <rFont val="Noto Sans CJK SC"/>
        <family val="2"/>
      </rPr>
      <t xml:space="preserve">교차로 예약</t>
    </r>
    <r>
      <rPr>
        <sz val="9.5"/>
        <rFont val="맑은 고딕"/>
        <family val="0"/>
        <charset val="1"/>
      </rPr>
      <t xml:space="preserve">, KPI </t>
    </r>
    <r>
      <rPr>
        <sz val="9.5"/>
        <rFont val="Noto Sans CJK SC"/>
        <family val="2"/>
      </rPr>
      <t xml:space="preserve">통계</t>
    </r>
    <r>
      <rPr>
        <sz val="9.5"/>
        <rFont val="맑은 고딕"/>
        <family val="0"/>
        <charset val="1"/>
      </rPr>
      <t xml:space="preserve">(amr_task_logs · /kpi), </t>
    </r>
    <r>
      <rPr>
        <sz val="9.5"/>
        <rFont val="Noto Sans CJK SC"/>
        <family val="2"/>
      </rPr>
      <t xml:space="preserve">앱 홈 요약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통계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물류 탭</t>
    </r>
  </si>
  <si>
    <r>
      <rPr>
        <sz val="9.5"/>
        <rFont val="Noto Sans CJK SC"/>
        <family val="2"/>
      </rPr>
      <t xml:space="preserve">교차로에서 로봇 겹침</t>
    </r>
    <r>
      <rPr>
        <sz val="9.5"/>
        <rFont val="맑은 고딕"/>
        <family val="0"/>
        <charset val="1"/>
      </rPr>
      <t xml:space="preserve">: </t>
    </r>
    <r>
      <rPr>
        <sz val="9.5"/>
        <rFont val="Noto Sans CJK SC"/>
        <family val="2"/>
      </rPr>
      <t xml:space="preserve">각 로봇이 앞차만 봄 → 교차로 예약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제동 거리 감속</t>
    </r>
    <r>
      <rPr>
        <sz val="9.5"/>
        <rFont val="맑은 고딕"/>
        <family val="0"/>
        <charset val="1"/>
      </rPr>
      <t xml:space="preserve">, 600</t>
    </r>
    <r>
      <rPr>
        <sz val="9.5"/>
        <rFont val="Noto Sans CJK SC"/>
        <family val="2"/>
      </rPr>
      <t xml:space="preserve">초 시뮬 겹침 </t>
    </r>
    <r>
      <rPr>
        <sz val="9.5"/>
        <rFont val="맑은 고딕"/>
        <family val="0"/>
        <charset val="1"/>
      </rPr>
      <t xml:space="preserve">41 → 0</t>
    </r>
  </si>
  <si>
    <r>
      <rPr>
        <sz val="9.5"/>
        <rFont val="Noto Sans CJK SC"/>
        <family val="2"/>
      </rPr>
      <t xml:space="preserve">지도 앱식 맵 조작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바로가기 시점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게이트 자동 따라가기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지금 확인할 일</t>
    </r>
    <r>
      <rPr>
        <sz val="9.5"/>
        <rFont val="맑은 고딕"/>
        <family val="0"/>
        <charset val="1"/>
      </rPr>
      <t xml:space="preserve">' · </t>
    </r>
    <r>
      <rPr>
        <sz val="9.5"/>
        <rFont val="Noto Sans CJK SC"/>
        <family val="2"/>
      </rPr>
      <t xml:space="preserve">휴대폰 알림</t>
    </r>
  </si>
  <si>
    <r>
      <rPr>
        <sz val="9.5"/>
        <rFont val="Noto Sans CJK SC"/>
        <family val="2"/>
      </rPr>
      <t xml:space="preserve">허브 밖으로 못 나가면 게이트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확인 불가 → 부지 전체를 이동 범위로</t>
    </r>
  </si>
  <si>
    <r>
      <rPr>
        <sz val="9.5"/>
        <rFont val="Noto Sans CJK SC"/>
        <family val="2"/>
      </rPr>
      <t xml:space="preserve">관리자 </t>
    </r>
    <r>
      <rPr>
        <sz val="9.5"/>
        <rFont val="맑은 고딕"/>
        <family val="0"/>
        <charset val="1"/>
      </rPr>
      <t xml:space="preserve">OTP </t>
    </r>
    <r>
      <rPr>
        <sz val="9.5"/>
        <rFont val="Noto Sans CJK SC"/>
        <family val="2"/>
      </rPr>
      <t xml:space="preserve">인증</t>
    </r>
    <r>
      <rPr>
        <sz val="9.5"/>
        <rFont val="맑은 고딕"/>
        <family val="0"/>
        <charset val="1"/>
      </rPr>
      <t xml:space="preserve">(24</t>
    </r>
    <r>
      <rPr>
        <sz val="9.5"/>
        <rFont val="Noto Sans CJK SC"/>
        <family val="2"/>
      </rPr>
      <t xml:space="preserve">시간 토큰 </t>
    </r>
    <r>
      <rPr>
        <sz val="9.5"/>
        <rFont val="맑은 고딕"/>
        <family val="0"/>
        <charset val="1"/>
      </rPr>
      <t xml:space="preserve">· /api/amr/** </t>
    </r>
    <r>
      <rPr>
        <sz val="9.5"/>
        <rFont val="Noto Sans CJK SC"/>
        <family val="2"/>
      </rPr>
      <t xml:space="preserve">잠금</t>
    </r>
    <r>
      <rPr>
        <sz val="9.5"/>
        <rFont val="맑은 고딕"/>
        <family val="0"/>
        <charset val="1"/>
      </rPr>
      <t xml:space="preserve">) → </t>
    </r>
    <r>
      <rPr>
        <sz val="9.5"/>
        <rFont val="Noto Sans CJK SC"/>
        <family val="2"/>
      </rPr>
      <t xml:space="preserve">앱 연결 방식으로 변경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웹에 </t>
    </r>
    <r>
      <rPr>
        <sz val="9.5"/>
        <rFont val="맑은 고딕"/>
        <family val="0"/>
        <charset val="1"/>
      </rPr>
      <t xml:space="preserve">6</t>
    </r>
    <r>
      <rPr>
        <sz val="9.5"/>
        <rFont val="Noto Sans CJK SC"/>
        <family val="2"/>
      </rPr>
      <t xml:space="preserve">자리 </t>
    </r>
    <r>
      <rPr>
        <sz val="9.5"/>
        <rFont val="맑은 고딕"/>
        <family val="0"/>
        <charset val="1"/>
      </rPr>
      <t xml:space="preserve">· QR, QR</t>
    </r>
    <r>
      <rPr>
        <sz val="9.5"/>
        <rFont val="Noto Sans CJK SC"/>
        <family val="2"/>
      </rPr>
      <t xml:space="preserve">에 노트북 주소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</si>
  <si>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웹이 로그인 쿠키를 안 보내 관리자 판정 실패 → </t>
    </r>
    <r>
      <rPr>
        <sz val="9.5"/>
        <rFont val="맑은 고딕"/>
        <family val="0"/>
        <charset val="1"/>
      </rPr>
      <t xml:space="preserve">credentials </t>
    </r>
    <r>
      <rPr>
        <sz val="9.5"/>
        <rFont val="Noto Sans CJK SC"/>
        <family val="2"/>
      </rPr>
      <t xml:space="preserve">포함 요청</t>
    </r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</si>
  <si>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배지를 최근 결과로 판단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실패 이유 화면 전달</t>
    </r>
  </si>
  <si>
    <r>
      <rPr>
        <sz val="9.5"/>
        <rFont val="Noto Sans CJK SC"/>
        <family val="2"/>
      </rPr>
      <t xml:space="preserve">한 건 실패로 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오프라인</t>
    </r>
    <r>
      <rPr>
        <sz val="9.5"/>
        <rFont val="맑은 고딕"/>
        <family val="0"/>
        <charset val="1"/>
      </rPr>
      <t xml:space="preserve">' </t>
    </r>
    <r>
      <rPr>
        <sz val="9.5"/>
        <rFont val="Noto Sans CJK SC"/>
        <family val="2"/>
      </rPr>
      <t xml:space="preserve">표시 → </t>
    </r>
    <r>
      <rPr>
        <sz val="9.5"/>
        <rFont val="맑은 고딕"/>
        <family val="0"/>
        <charset val="1"/>
      </rPr>
      <t xml:space="preserve">90</t>
    </r>
    <r>
      <rPr>
        <sz val="9.5"/>
        <rFont val="Noto Sans CJK SC"/>
        <family val="2"/>
      </rPr>
      <t xml:space="preserve">초 안 성공이 있으면 연결 유지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실패 건수 표시</t>
    </r>
  </si>
  <si>
    <t xml:space="preserve">997e30b</t>
  </si>
  <si>
    <r>
      <rPr>
        <sz val="9.5"/>
        <rFont val="Noto Sans CJK SC"/>
        <family val="2"/>
      </rPr>
      <t xml:space="preserve">게이트 자동을 모든 시점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출구 </t>
    </r>
    <r>
      <rPr>
        <sz val="9.5"/>
        <rFont val="맑은 고딕"/>
        <family val="0"/>
        <charset val="1"/>
      </rPr>
      <t xml:space="preserve">OCR</t>
    </r>
    <r>
      <rPr>
        <sz val="9.5"/>
        <rFont val="Noto Sans CJK SC"/>
        <family val="2"/>
      </rPr>
      <t xml:space="preserve">에서도 동작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상태 표시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대기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보는 중</t>
    </r>
    <r>
      <rPr>
        <sz val="9.5"/>
        <rFont val="맑은 고딕"/>
        <family val="0"/>
        <charset val="1"/>
      </rPr>
      <t xml:space="preserve">)</t>
    </r>
  </si>
  <si>
    <t xml:space="preserve">손으로 움직인 시점에서 동작 안 함 → 시점 저장 후 복귀</t>
  </si>
  <si>
    <t xml:space="preserve">06cea47, 0d47604</t>
  </si>
  <si>
    <r>
      <rPr>
        <sz val="9.5"/>
        <rFont val="Noto Sans CJK SC"/>
        <family val="2"/>
      </rPr>
      <t xml:space="preserve">앱 알림 우선순위 설정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QR </t>
    </r>
    <r>
      <rPr>
        <sz val="9.5"/>
        <rFont val="Noto Sans CJK SC"/>
        <family val="2"/>
      </rPr>
      <t xml:space="preserve">버튼 개선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문구 통일</t>
    </r>
  </si>
  <si>
    <t xml:space="preserve">01eb6ed, 09880b1</t>
  </si>
  <si>
    <r>
      <rPr>
        <sz val="9.5"/>
        <rFont val="Noto Sans CJK SC"/>
        <family val="2"/>
      </rPr>
      <t xml:space="preserve">인식 사진 백엔드 경유 제공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웹 번호 누르면 사진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앱 게이트 </t>
    </r>
    <r>
      <rPr>
        <sz val="9.5"/>
        <rFont val="맑은 고딕"/>
        <family val="0"/>
        <charset val="1"/>
      </rPr>
      <t xml:space="preserve">OCR(</t>
    </r>
    <r>
      <rPr>
        <sz val="9.5"/>
        <rFont val="Noto Sans CJK SC"/>
        <family val="2"/>
      </rPr>
      <t xml:space="preserve">앱 트럭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웹 결과 연결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</si>
  <si>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앱 사진 안 보임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휴대폰에서 </t>
    </r>
    <r>
      <rPr>
        <sz val="9.5"/>
        <rFont val="맑은 고딕"/>
        <family val="0"/>
        <charset val="1"/>
      </rPr>
      <t xml:space="preserve">8001 </t>
    </r>
    <r>
      <rPr>
        <sz val="9.5"/>
        <rFont val="Noto Sans CJK SC"/>
        <family val="2"/>
      </rPr>
      <t xml:space="preserve">차단</t>
    </r>
    <r>
      <rPr>
        <sz val="9.5"/>
        <rFont val="맑은 고딕"/>
        <family val="0"/>
        <charset val="1"/>
      </rPr>
      <t xml:space="preserve">) → </t>
    </r>
    <r>
      <rPr>
        <sz val="9.5"/>
        <rFont val="Noto Sans CJK SC"/>
        <family val="2"/>
      </rPr>
      <t xml:space="preserve">백엔드</t>
    </r>
    <r>
      <rPr>
        <sz val="9.5"/>
        <rFont val="맑은 고딕"/>
        <family val="0"/>
        <charset val="1"/>
      </rPr>
      <t xml:space="preserve">(8080) </t>
    </r>
    <r>
      <rPr>
        <sz val="9.5"/>
        <rFont val="Noto Sans CJK SC"/>
        <family val="2"/>
      </rPr>
      <t xml:space="preserve">경유 </t>
    </r>
    <r>
      <rPr>
        <sz val="9.5"/>
        <rFont val="맑은 고딕"/>
        <family val="0"/>
        <charset val="1"/>
      </rPr>
      <t xml:space="preserve">+ OCR </t>
    </r>
    <r>
      <rPr>
        <sz val="9.5"/>
        <rFont val="Noto Sans CJK SC"/>
        <family val="2"/>
      </rPr>
      <t xml:space="preserve">서버 직접 예비 경로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앱 트럭은 웹과 따로 움직여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표시 안 됨 → 앱 트럭 정지 시 웹 결과 연결</t>
    </r>
  </si>
  <si>
    <t xml:space="preserve">c2b0788, 4a2de28, e6f6ab0</t>
  </si>
  <si>
    <r>
      <rPr>
        <b val="true"/>
        <sz val="15"/>
        <color rgb="FF0B1520"/>
        <rFont val="맑은 고딕"/>
        <family val="0"/>
        <charset val="1"/>
      </rPr>
      <t xml:space="preserve">14 </t>
    </r>
    <r>
      <rPr>
        <b val="true"/>
        <sz val="15"/>
        <color rgb="FF0B1520"/>
        <rFont val="Noto Sans CJK SC"/>
        <family val="2"/>
      </rPr>
      <t xml:space="preserve">테스트계획서 </t>
    </r>
    <r>
      <rPr>
        <b val="true"/>
        <sz val="15"/>
        <color rgb="FF0B1520"/>
        <rFont val="맑은 고딕"/>
        <family val="0"/>
        <charset val="1"/>
      </rPr>
      <t xml:space="preserve">(</t>
    </r>
    <r>
      <rPr>
        <b val="true"/>
        <sz val="15"/>
        <color rgb="FF0B1520"/>
        <rFont val="Noto Sans CJK SC"/>
        <family val="2"/>
      </rPr>
      <t xml:space="preserve">단위 </t>
    </r>
    <r>
      <rPr>
        <b val="true"/>
        <sz val="15"/>
        <color rgb="FF0B1520"/>
        <rFont val="맑은 고딕"/>
        <family val="0"/>
        <charset val="1"/>
      </rPr>
      <t xml:space="preserve">· </t>
    </r>
    <r>
      <rPr>
        <b val="true"/>
        <sz val="15"/>
        <color rgb="FF0B1520"/>
        <rFont val="Noto Sans CJK SC"/>
        <family val="2"/>
      </rPr>
      <t xml:space="preserve">통합</t>
    </r>
    <r>
      <rPr>
        <b val="true"/>
        <sz val="15"/>
        <color rgb="FF0B1520"/>
        <rFont val="맑은 고딕"/>
        <family val="0"/>
        <charset val="1"/>
      </rPr>
      <t xml:space="preserve">)</t>
    </r>
  </si>
  <si>
    <r>
      <rPr>
        <sz val="9"/>
        <color rgb="FF56677A"/>
        <rFont val="Noto Sans CJK SC"/>
        <family val="2"/>
      </rPr>
      <t xml:space="preserve">허브 </t>
    </r>
    <r>
      <rPr>
        <sz val="9"/>
        <color rgb="FF56677A"/>
        <rFont val="맑은 고딕"/>
        <family val="0"/>
        <charset val="1"/>
      </rPr>
      <t xml:space="preserve">AMR </t>
    </r>
    <r>
      <rPr>
        <sz val="9"/>
        <color rgb="FF56677A"/>
        <rFont val="Noto Sans CJK SC"/>
        <family val="2"/>
      </rPr>
      <t xml:space="preserve">디지털 트윈 관제 </t>
    </r>
    <r>
      <rPr>
        <sz val="9"/>
        <color rgb="FF56677A"/>
        <rFont val="맑은 고딕"/>
        <family val="0"/>
        <charset val="1"/>
      </rPr>
      <t xml:space="preserve">(S-CARGO </t>
    </r>
    <r>
      <rPr>
        <sz val="9"/>
        <color rgb="FF56677A"/>
        <rFont val="Noto Sans CJK SC"/>
        <family val="2"/>
      </rPr>
      <t xml:space="preserve">허브 파트 </t>
    </r>
    <r>
      <rPr>
        <sz val="9"/>
        <color rgb="FF56677A"/>
        <rFont val="맑은 고딕"/>
        <family val="0"/>
        <charset val="1"/>
      </rPr>
      <t xml:space="preserve">· 1</t>
    </r>
    <r>
      <rPr>
        <sz val="9"/>
        <color rgb="FF56677A"/>
        <rFont val="Noto Sans CJK SC"/>
        <family val="2"/>
      </rPr>
      <t xml:space="preserve">인 개발</t>
    </r>
    <r>
      <rPr>
        <sz val="9"/>
        <color rgb="FF56677A"/>
        <rFont val="맑은 고딕"/>
        <family val="0"/>
        <charset val="1"/>
      </rPr>
      <t xml:space="preserve">)  ·  </t>
    </r>
    <r>
      <rPr>
        <sz val="9"/>
        <color rgb="FF56677A"/>
        <rFont val="Noto Sans CJK SC"/>
        <family val="2"/>
      </rPr>
      <t xml:space="preserve">실제로 실행한 테스트만 기재</t>
    </r>
    <r>
      <rPr>
        <sz val="9"/>
        <color rgb="FF56677A"/>
        <rFont val="맑은 고딕"/>
        <family val="0"/>
        <charset val="1"/>
      </rPr>
      <t xml:space="preserve">. </t>
    </r>
    <r>
      <rPr>
        <sz val="9"/>
        <color rgb="FF56677A"/>
        <rFont val="Noto Sans CJK SC"/>
        <family val="2"/>
      </rPr>
      <t xml:space="preserve">통합 테스트는 실제 </t>
    </r>
    <r>
      <rPr>
        <sz val="9"/>
        <color rgb="FF56677A"/>
        <rFont val="맑은 고딕"/>
        <family val="0"/>
        <charset val="1"/>
      </rPr>
      <t xml:space="preserve">API</t>
    </r>
    <r>
      <rPr>
        <sz val="9"/>
        <color rgb="FF56677A"/>
        <rFont val="Noto Sans CJK SC"/>
        <family val="2"/>
      </rPr>
      <t xml:space="preserve">와 같은 응답을 주는 목업 서버 </t>
    </r>
    <r>
      <rPr>
        <sz val="9"/>
        <color rgb="FF56677A"/>
        <rFont val="맑은 고딕"/>
        <family val="0"/>
        <charset val="1"/>
      </rPr>
      <t xml:space="preserve">+ </t>
    </r>
    <r>
      <rPr>
        <sz val="9"/>
        <color rgb="FF56677A"/>
        <rFont val="Noto Sans CJK SC"/>
        <family val="2"/>
      </rPr>
      <t xml:space="preserve">브라우저 자동화로 수행</t>
    </r>
  </si>
  <si>
    <t xml:space="preserve">대상</t>
  </si>
  <si>
    <t xml:space="preserve">시나리오</t>
  </si>
  <si>
    <r>
      <rPr>
        <b val="true"/>
        <sz val="10"/>
        <color rgb="FFFFFFFF"/>
        <rFont val="Noto Sans CJK SC"/>
        <family val="2"/>
      </rPr>
      <t xml:space="preserve">방법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도구</t>
    </r>
  </si>
  <si>
    <t xml:space="preserve">기대 결과</t>
  </si>
  <si>
    <t xml:space="preserve">UT-01</t>
  </si>
  <si>
    <t xml:space="preserve">단위</t>
  </si>
  <si>
    <r>
      <rPr>
        <sz val="9.5"/>
        <rFont val="맑은 고딕"/>
        <family val="0"/>
        <charset val="1"/>
      </rPr>
      <t xml:space="preserve">TOTP </t>
    </r>
    <r>
      <rPr>
        <sz val="9.5"/>
        <rFont val="Noto Sans CJK SC"/>
        <family val="2"/>
      </rPr>
      <t xml:space="preserve">계산 </t>
    </r>
    <r>
      <rPr>
        <sz val="9.5"/>
        <rFont val="맑은 고딕"/>
        <family val="0"/>
        <charset val="1"/>
      </rPr>
      <t xml:space="preserve">(AmrAuthService.totp)</t>
    </r>
  </si>
  <si>
    <r>
      <rPr>
        <sz val="9.5"/>
        <rFont val="맑은 고딕"/>
        <family val="0"/>
        <charset val="1"/>
      </rPr>
      <t xml:space="preserve">RFC 6238 </t>
    </r>
    <r>
      <rPr>
        <sz val="9.5"/>
        <rFont val="Noto Sans CJK SC"/>
        <family val="2"/>
      </rPr>
      <t xml:space="preserve">표준 테스트 시각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개로 </t>
    </r>
    <r>
      <rPr>
        <sz val="9.5"/>
        <rFont val="맑은 고딕"/>
        <family val="0"/>
        <charset val="1"/>
      </rPr>
      <t xml:space="preserve">6</t>
    </r>
    <r>
      <rPr>
        <sz val="9.5"/>
        <rFont val="Noto Sans CJK SC"/>
        <family val="2"/>
      </rPr>
      <t xml:space="preserve">자리 계산</t>
    </r>
  </si>
  <si>
    <r>
      <rPr>
        <sz val="9.5"/>
        <rFont val="맑은 고딕"/>
        <family val="0"/>
        <charset val="1"/>
      </rPr>
      <t xml:space="preserve">Java </t>
    </r>
    <r>
      <rPr>
        <sz val="9.5"/>
        <rFont val="Noto Sans CJK SC"/>
        <family val="2"/>
      </rPr>
      <t xml:space="preserve">테스트 클래스 실행</t>
    </r>
  </si>
  <si>
    <t xml:space="preserve">287082 · 081804 · 353130</t>
  </si>
  <si>
    <t xml:space="preserve">UT-02</t>
  </si>
  <si>
    <r>
      <rPr>
        <sz val="9.5"/>
        <rFont val="맑은 고딕"/>
        <family val="0"/>
        <charset val="1"/>
      </rPr>
      <t xml:space="preserve">Base32 </t>
    </r>
    <r>
      <rPr>
        <sz val="9.5"/>
        <rFont val="Noto Sans CJK SC"/>
        <family val="2"/>
      </rPr>
      <t xml:space="preserve">인코딩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디코딩</t>
    </r>
  </si>
  <si>
    <r>
      <rPr>
        <sz val="9.5"/>
        <rFont val="맑은 고딕"/>
        <family val="0"/>
        <charset val="1"/>
      </rPr>
      <t xml:space="preserve">20</t>
    </r>
    <r>
      <rPr>
        <sz val="9.5"/>
        <rFont val="Noto Sans CJK SC"/>
        <family val="2"/>
      </rPr>
      <t xml:space="preserve">바이트 키를 인코딩 후 다시 디코딩</t>
    </r>
  </si>
  <si>
    <t xml:space="preserve">원래 값과 같음</t>
  </si>
  <si>
    <t xml:space="preserve">UT-03</t>
  </si>
  <si>
    <r>
      <rPr>
        <sz val="9.5"/>
        <rFont val="맑은 고딕"/>
        <family val="0"/>
        <charset val="1"/>
      </rPr>
      <t xml:space="preserve">QR </t>
    </r>
    <r>
      <rPr>
        <sz val="9.5"/>
        <rFont val="Noto Sans CJK SC"/>
        <family val="2"/>
      </rPr>
      <t xml:space="preserve">인코더 </t>
    </r>
    <r>
      <rPr>
        <sz val="9.5"/>
        <rFont val="맑은 고딕"/>
        <family val="0"/>
        <charset val="1"/>
      </rPr>
      <t xml:space="preserve">(amrQr.js)</t>
    </r>
  </si>
  <si>
    <r>
      <rPr>
        <sz val="9.5"/>
        <rFont val="Noto Sans CJK SC"/>
        <family val="2"/>
      </rPr>
      <t xml:space="preserve">길이가 다른 문자열 </t>
    </r>
    <r>
      <rPr>
        <sz val="9.5"/>
        <rFont val="맑은 고딕"/>
        <family val="0"/>
        <charset val="1"/>
      </rPr>
      <t xml:space="preserve">4</t>
    </r>
    <r>
      <rPr>
        <sz val="9.5"/>
        <rFont val="Noto Sans CJK SC"/>
        <family val="2"/>
      </rPr>
      <t xml:space="preserve">개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버전 </t>
    </r>
    <r>
      <rPr>
        <sz val="9.5"/>
        <rFont val="맑은 고딕"/>
        <family val="0"/>
        <charset val="1"/>
      </rPr>
      <t xml:space="preserve">1 · 8 · 10)</t>
    </r>
    <r>
      <rPr>
        <sz val="9.5"/>
        <rFont val="Noto Sans CJK SC"/>
        <family val="2"/>
      </rPr>
      <t xml:space="preserve">를 </t>
    </r>
    <r>
      <rPr>
        <sz val="9.5"/>
        <rFont val="맑은 고딕"/>
        <family val="0"/>
        <charset val="1"/>
      </rPr>
      <t xml:space="preserve">QR</t>
    </r>
    <r>
      <rPr>
        <sz val="9.5"/>
        <rFont val="Noto Sans CJK SC"/>
        <family val="2"/>
      </rPr>
      <t xml:space="preserve">로 만들어 판독</t>
    </r>
  </si>
  <si>
    <r>
      <rPr>
        <sz val="9.5"/>
        <rFont val="맑은 고딕"/>
        <family val="0"/>
        <charset val="1"/>
      </rPr>
      <t xml:space="preserve">Node </t>
    </r>
    <r>
      <rPr>
        <sz val="9.5"/>
        <rFont val="Noto Sans CJK SC"/>
        <family val="2"/>
      </rPr>
      <t xml:space="preserve">생성 → </t>
    </r>
    <r>
      <rPr>
        <sz val="9.5"/>
        <rFont val="맑은 고딕"/>
        <family val="0"/>
        <charset val="1"/>
      </rPr>
      <t xml:space="preserve">OpenCV QRCodeDetector</t>
    </r>
  </si>
  <si>
    <r>
      <rPr>
        <sz val="9.5"/>
        <rFont val="맑은 고딕"/>
        <family val="0"/>
        <charset val="1"/>
      </rPr>
      <t xml:space="preserve">4</t>
    </r>
    <r>
      <rPr>
        <sz val="9.5"/>
        <rFont val="Noto Sans CJK SC"/>
        <family val="2"/>
      </rPr>
      <t xml:space="preserve">개 모두 원문과 같게 판독</t>
    </r>
  </si>
  <si>
    <t xml:space="preserve">UT-04</t>
  </si>
  <si>
    <r>
      <rPr>
        <sz val="9.5"/>
        <rFont val="Noto Sans CJK SC"/>
        <family val="2"/>
      </rPr>
      <t xml:space="preserve">교차로 예약 </t>
    </r>
    <r>
      <rPr>
        <sz val="9.5"/>
        <rFont val="맑은 고딕"/>
        <family val="0"/>
        <charset val="1"/>
      </rPr>
      <t xml:space="preserve">(amrSim.js)</t>
    </r>
  </si>
  <si>
    <r>
      <rPr>
        <sz val="9.5"/>
        <rFont val="맑은 고딕"/>
        <family val="0"/>
        <charset val="1"/>
      </rPr>
      <t xml:space="preserve">600</t>
    </r>
    <r>
      <rPr>
        <sz val="9.5"/>
        <rFont val="Noto Sans CJK SC"/>
        <family val="2"/>
      </rPr>
      <t xml:space="preserve">초 시뮬레이션에서 교차로 겹침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처리량 측정</t>
    </r>
  </si>
  <si>
    <r>
      <rPr>
        <sz val="9.5"/>
        <rFont val="맑은 고딕"/>
        <family val="0"/>
        <charset val="1"/>
      </rPr>
      <t xml:space="preserve">Node </t>
    </r>
    <r>
      <rPr>
        <sz val="9.5"/>
        <rFont val="Noto Sans CJK SC"/>
        <family val="2"/>
      </rPr>
      <t xml:space="preserve">시뮬 테스트</t>
    </r>
  </si>
  <si>
    <r>
      <rPr>
        <sz val="9.5"/>
        <rFont val="Noto Sans CJK SC"/>
        <family val="2"/>
      </rPr>
      <t xml:space="preserve">겹침 </t>
    </r>
    <r>
      <rPr>
        <sz val="9.5"/>
        <rFont val="맑은 고딕"/>
        <family val="0"/>
        <charset val="1"/>
      </rPr>
      <t xml:space="preserve">0, </t>
    </r>
    <r>
      <rPr>
        <sz val="9.5"/>
        <rFont val="Noto Sans CJK SC"/>
        <family val="2"/>
      </rPr>
      <t xml:space="preserve">처리량 유지</t>
    </r>
  </si>
  <si>
    <t xml:space="preserve">UT-05</t>
  </si>
  <si>
    <r>
      <rPr>
        <sz val="9.5"/>
        <rFont val="맑은 고딕"/>
        <family val="0"/>
        <charset val="1"/>
      </rPr>
      <t xml:space="preserve">EAN-13 </t>
    </r>
    <r>
      <rPr>
        <sz val="9.5"/>
        <rFont val="Noto Sans CJK SC"/>
        <family val="2"/>
      </rPr>
      <t xml:space="preserve">생성</t>
    </r>
  </si>
  <si>
    <r>
      <rPr>
        <sz val="9.5"/>
        <rFont val="Noto Sans CJK SC"/>
        <family val="2"/>
      </rPr>
      <t xml:space="preserve">상자 바코드 번호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검증숫자 생성</t>
    </r>
  </si>
  <si>
    <t xml:space="preserve">콘셉트 화면 렌더</t>
  </si>
  <si>
    <r>
      <rPr>
        <sz val="9.5"/>
        <rFont val="맑은 고딕"/>
        <family val="0"/>
        <charset val="1"/>
      </rPr>
      <t xml:space="preserve">13</t>
    </r>
    <r>
      <rPr>
        <sz val="9.5"/>
        <rFont val="Noto Sans CJK SC"/>
        <family val="2"/>
      </rPr>
      <t xml:space="preserve">자리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검증숫자 일치</t>
    </r>
  </si>
  <si>
    <t xml:space="preserve">UT-06</t>
  </si>
  <si>
    <r>
      <rPr>
        <sz val="9.5"/>
        <rFont val="Noto Sans CJK SC"/>
        <family val="2"/>
      </rPr>
      <t xml:space="preserve">백엔드 </t>
    </r>
    <r>
      <rPr>
        <sz val="9.5"/>
        <rFont val="맑은 고딕"/>
        <family val="0"/>
        <charset val="1"/>
      </rPr>
      <t xml:space="preserve">AMR </t>
    </r>
    <r>
      <rPr>
        <sz val="9.5"/>
        <rFont val="Noto Sans CJK SC"/>
        <family val="2"/>
      </rPr>
      <t xml:space="preserve">패키지 컴파일</t>
    </r>
  </si>
  <si>
    <r>
      <rPr>
        <sz val="9.5"/>
        <rFont val="Noto Sans CJK SC"/>
        <family val="2"/>
      </rPr>
      <t xml:space="preserve">엔티티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서비스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컨트롤러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인증 설정 컴파일</t>
    </r>
  </si>
  <si>
    <r>
      <rPr>
        <sz val="9.5"/>
        <rFont val="맑은 고딕"/>
        <family val="0"/>
        <charset val="1"/>
      </rPr>
      <t xml:space="preserve">javac (Lombok </t>
    </r>
    <r>
      <rPr>
        <sz val="9.5"/>
        <rFont val="Noto Sans CJK SC"/>
        <family val="2"/>
      </rPr>
      <t xml:space="preserve">전개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스프링 스텁</t>
    </r>
    <r>
      <rPr>
        <sz val="9.5"/>
        <rFont val="맑은 고딕"/>
        <family val="0"/>
        <charset val="1"/>
      </rPr>
      <t xml:space="preserve">)</t>
    </r>
  </si>
  <si>
    <t xml:space="preserve">오류 없음</t>
  </si>
  <si>
    <t xml:space="preserve">IT-01</t>
  </si>
  <si>
    <t xml:space="preserve">통합</t>
  </si>
  <si>
    <r>
      <rPr>
        <sz val="9.5"/>
        <rFont val="Noto Sans CJK SC"/>
        <family val="2"/>
      </rPr>
      <t xml:space="preserve">웹 앱 연결 </t>
    </r>
    <r>
      <rPr>
        <sz val="9.5"/>
        <rFont val="맑은 고딕"/>
        <family val="0"/>
        <charset val="1"/>
      </rPr>
      <t xml:space="preserve">QR</t>
    </r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</si>
  <si>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[QR] </t>
    </r>
    <r>
      <rPr>
        <sz val="9.5"/>
        <rFont val="Noto Sans CJK SC"/>
        <family val="2"/>
      </rPr>
      <t xml:space="preserve">버튼 → 창의 </t>
    </r>
    <r>
      <rPr>
        <sz val="9.5"/>
        <rFont val="맑은 고딕"/>
        <family val="0"/>
        <charset val="1"/>
      </rPr>
      <t xml:space="preserve">QR </t>
    </r>
    <r>
      <rPr>
        <sz val="9.5"/>
        <rFont val="Noto Sans CJK SC"/>
        <family val="2"/>
      </rPr>
      <t xml:space="preserve">판독 내용과 서버 </t>
    </r>
    <r>
      <rPr>
        <sz val="9.5"/>
        <rFont val="맑은 고딕"/>
        <family val="0"/>
        <charset val="1"/>
      </rPr>
      <t xml:space="preserve">6</t>
    </r>
    <r>
      <rPr>
        <sz val="9.5"/>
        <rFont val="Noto Sans CJK SC"/>
        <family val="2"/>
      </rPr>
      <t xml:space="preserve">자리 비교</t>
    </r>
  </si>
  <si>
    <r>
      <rPr>
        <sz val="9.5"/>
        <rFont val="Noto Sans CJK SC"/>
        <family val="2"/>
      </rPr>
      <t xml:space="preserve">목업 서버 </t>
    </r>
    <r>
      <rPr>
        <sz val="9.5"/>
        <rFont val="맑은 고딕"/>
        <family val="0"/>
        <charset val="1"/>
      </rPr>
      <t xml:space="preserve">+ Playwright + OpenCV</t>
    </r>
  </si>
  <si>
    <r>
      <rPr>
        <sz val="9.5"/>
        <rFont val="맑은 고딕"/>
        <family val="0"/>
        <charset val="1"/>
      </rPr>
      <t xml:space="preserve">QR </t>
    </r>
    <r>
      <rPr>
        <sz val="9.5"/>
        <rFont val="Noto Sans CJK SC"/>
        <family val="2"/>
      </rPr>
      <t xml:space="preserve">안 코드 </t>
    </r>
    <r>
      <rPr>
        <sz val="9.5"/>
        <rFont val="맑은 고딕"/>
        <family val="0"/>
        <charset val="1"/>
      </rPr>
      <t xml:space="preserve">= </t>
    </r>
    <r>
      <rPr>
        <sz val="9.5"/>
        <rFont val="Noto Sans CJK SC"/>
        <family val="2"/>
      </rPr>
      <t xml:space="preserve">서버 코드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노트북 주소 포함</t>
    </r>
  </si>
  <si>
    <t xml:space="preserve">IT-02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</si>
  <si>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QR </t>
    </r>
    <r>
      <rPr>
        <sz val="9.5"/>
        <rFont val="Noto Sans CJK SC"/>
        <family val="2"/>
      </rPr>
      <t xml:space="preserve">로그인</t>
    </r>
  </si>
  <si>
    <r>
      <rPr>
        <sz val="9.5"/>
        <rFont val="Noto Sans CJK SC"/>
        <family val="2"/>
      </rPr>
      <t xml:space="preserve">틀린 서버 주소 상태에서 </t>
    </r>
    <r>
      <rPr>
        <sz val="9.5"/>
        <rFont val="맑은 고딕"/>
        <family val="0"/>
        <charset val="1"/>
      </rPr>
      <t xml:space="preserve">QR </t>
    </r>
    <r>
      <rPr>
        <sz val="9.5"/>
        <rFont val="Noto Sans CJK SC"/>
        <family val="2"/>
      </rPr>
      <t xml:space="preserve">찍기</t>
    </r>
  </si>
  <si>
    <r>
      <rPr>
        <sz val="9.5"/>
        <rFont val="Noto Sans CJK SC"/>
        <family val="2"/>
      </rPr>
      <t xml:space="preserve">목업 서버 </t>
    </r>
    <r>
      <rPr>
        <sz val="9.5"/>
        <rFont val="맑은 고딕"/>
        <family val="0"/>
        <charset val="1"/>
      </rPr>
      <t xml:space="preserve">+ Playwright (</t>
    </r>
    <r>
      <rPr>
        <sz val="9.5"/>
        <rFont val="Noto Sans CJK SC"/>
        <family val="2"/>
      </rPr>
      <t xml:space="preserve">스캐너 대체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</si>
  <si>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주소 자동 설정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로그인</t>
    </r>
  </si>
  <si>
    <t xml:space="preserve">IT-03</t>
  </si>
  <si>
    <t xml:space="preserve">앱 키패드 로그인</t>
  </si>
  <si>
    <r>
      <rPr>
        <sz val="9.5"/>
        <rFont val="Noto Sans CJK SC"/>
        <family val="2"/>
      </rPr>
      <t xml:space="preserve">키패드로 </t>
    </r>
    <r>
      <rPr>
        <sz val="9.5"/>
        <rFont val="맑은 고딕"/>
        <family val="0"/>
        <charset val="1"/>
      </rPr>
      <t xml:space="preserve">6</t>
    </r>
    <r>
      <rPr>
        <sz val="9.5"/>
        <rFont val="Noto Sans CJK SC"/>
        <family val="2"/>
      </rPr>
      <t xml:space="preserve">자리 입력</t>
    </r>
  </si>
  <si>
    <r>
      <rPr>
        <sz val="9.5"/>
        <rFont val="Noto Sans CJK SC"/>
        <family val="2"/>
      </rPr>
      <t xml:space="preserve">목업 서버 </t>
    </r>
    <r>
      <rPr>
        <sz val="9.5"/>
        <rFont val="맑은 고딕"/>
        <family val="0"/>
        <charset val="1"/>
      </rPr>
      <t xml:space="preserve">+ Playwright</t>
    </r>
  </si>
  <si>
    <t xml:space="preserve">잠금 해제</t>
  </si>
  <si>
    <t xml:space="preserve">IT-04</t>
  </si>
  <si>
    <t xml:space="preserve">인증 만료 시 재잠금</t>
  </si>
  <si>
    <t xml:space="preserve">토큰을 서버에서 지운 뒤 요청</t>
  </si>
  <si>
    <t xml:space="preserve">다시 잠금 화면</t>
  </si>
  <si>
    <t xml:space="preserve">IT-05</t>
  </si>
  <si>
    <t xml:space="preserve">알림 우선순위 설정</t>
  </si>
  <si>
    <r>
      <rPr>
        <sz val="9.5"/>
        <rFont val="Noto Sans CJK SC"/>
        <family val="2"/>
      </rPr>
      <t xml:space="preserve">설정에서 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긴급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주의</t>
    </r>
    <r>
      <rPr>
        <sz val="9.5"/>
        <rFont val="맑은 고딕"/>
        <family val="0"/>
        <charset val="1"/>
      </rPr>
      <t xml:space="preserve">' </t>
    </r>
    <r>
      <rPr>
        <sz val="9.5"/>
        <rFont val="Noto Sans CJK SC"/>
        <family val="2"/>
      </rPr>
      <t xml:space="preserve">선택</t>
    </r>
  </si>
  <si>
    <t xml:space="preserve">Playwright</t>
  </si>
  <si>
    <r>
      <rPr>
        <sz val="9.5"/>
        <rFont val="Noto Sans CJK SC"/>
        <family val="2"/>
      </rPr>
      <t xml:space="preserve">선택 저장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표시</t>
    </r>
  </si>
  <si>
    <t xml:space="preserve">IT-06</t>
  </si>
  <si>
    <t xml:space="preserve">웹 게이트 자동</t>
  </si>
  <si>
    <t xml:space="preserve">지도를 손으로 옮긴 뒤 트럭 도착</t>
  </si>
  <si>
    <r>
      <rPr>
        <sz val="9.5"/>
        <rFont val="맑은 고딕"/>
        <family val="0"/>
        <charset val="1"/>
      </rPr>
      <t xml:space="preserve">Playwright (</t>
    </r>
    <r>
      <rPr>
        <sz val="9.5"/>
        <rFont val="Noto Sans CJK SC"/>
        <family val="2"/>
      </rPr>
      <t xml:space="preserve">트럭 도착 강제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</si>
  <si>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게이트 </t>
    </r>
    <r>
      <rPr>
        <sz val="9.5"/>
        <rFont val="맑은 고딕"/>
        <family val="0"/>
        <charset val="1"/>
      </rPr>
      <t xml:space="preserve">6</t>
    </r>
    <r>
      <rPr>
        <sz val="9.5"/>
        <rFont val="Noto Sans CJK SC"/>
        <family val="2"/>
      </rPr>
      <t xml:space="preserve">초 → 원래 자리 복귀</t>
    </r>
  </si>
  <si>
    <t xml:space="preserve">IT-07</t>
  </si>
  <si>
    <t xml:space="preserve">게이트 자동 상태 표시</t>
  </si>
  <si>
    <t xml:space="preserve">버튼 켜기 → 트럭 도착</t>
  </si>
  <si>
    <t xml:space="preserve">켜짐 안내 → 대기 → 입구 보는 중</t>
  </si>
  <si>
    <t xml:space="preserve">IT-08</t>
  </si>
  <si>
    <r>
      <rPr>
        <sz val="9.5"/>
        <rFont val="Noto Sans CJK SC"/>
        <family val="2"/>
      </rPr>
      <t xml:space="preserve">앱 게이트 </t>
    </r>
    <r>
      <rPr>
        <sz val="9.5"/>
        <rFont val="맑은 고딕"/>
        <family val="0"/>
        <charset val="1"/>
      </rPr>
      <t xml:space="preserve">OCR</t>
    </r>
  </si>
  <si>
    <t xml:space="preserve">앱 트럭 게이트 도착 → 웹 결과 등록</t>
  </si>
  <si>
    <r>
      <rPr>
        <sz val="9.5"/>
        <rFont val="Noto Sans CJK SC"/>
        <family val="2"/>
      </rPr>
      <t xml:space="preserve">인식 중 → 웹 번호판 결과 표시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새 결과 없으면 최근 결과</t>
    </r>
  </si>
  <si>
    <t xml:space="preserve">IT-09</t>
  </si>
  <si>
    <t xml:space="preserve">앱 인식 사진</t>
  </si>
  <si>
    <r>
      <rPr>
        <sz val="9.5"/>
        <rFont val="Noto Sans CJK SC"/>
        <family val="2"/>
      </rPr>
      <t xml:space="preserve">물류 탭 번호 누르기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백엔드 경로를 일부러 실패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</si>
  <si>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사진 표시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예비 경로</t>
    </r>
    <r>
      <rPr>
        <sz val="9.5"/>
        <rFont val="맑은 고딕"/>
        <family val="0"/>
        <charset val="1"/>
      </rPr>
      <t xml:space="preserve">)</t>
    </r>
  </si>
  <si>
    <t xml:space="preserve">IT-10</t>
  </si>
  <si>
    <t xml:space="preserve">웹 인식 사진</t>
  </si>
  <si>
    <r>
      <rPr>
        <sz val="9.5"/>
        <rFont val="맑은 고딕"/>
        <family val="0"/>
        <charset val="1"/>
      </rPr>
      <t xml:space="preserve">Gate OCR </t>
    </r>
    <r>
      <rPr>
        <sz val="9.5"/>
        <rFont val="Noto Sans CJK SC"/>
        <family val="2"/>
      </rPr>
      <t xml:space="preserve">카드 번호 누르기</t>
    </r>
  </si>
  <si>
    <t xml:space="preserve">카드 아래 사진 표시</t>
  </si>
  <si>
    <t xml:space="preserve">IT-11</t>
  </si>
  <si>
    <t xml:space="preserve">앱 첫 입출차 기록</t>
  </si>
  <si>
    <r>
      <rPr>
        <sz val="9.5"/>
        <rFont val="Noto Sans CJK SC"/>
        <family val="2"/>
      </rPr>
      <t xml:space="preserve">기록 </t>
    </r>
    <r>
      <rPr>
        <sz val="9.5"/>
        <rFont val="맑은 고딕"/>
        <family val="0"/>
        <charset val="1"/>
      </rPr>
      <t xml:space="preserve">0</t>
    </r>
    <r>
      <rPr>
        <sz val="9.5"/>
        <rFont val="Noto Sans CJK SC"/>
        <family val="2"/>
      </rPr>
      <t xml:space="preserve">건에서 첫 기록 등록</t>
    </r>
  </si>
  <si>
    <t xml:space="preserve">새 기록으로 처리</t>
  </si>
  <si>
    <t xml:space="preserve">ST-01</t>
  </si>
  <si>
    <t xml:space="preserve">실기기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</si>
  <si>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0"/>
        <charset val="1"/>
      </rPr>
      <t xml:space="preserve">WiFi </t>
    </r>
    <r>
      <rPr>
        <sz val="9.5"/>
        <rFont val="Noto Sans CJK SC"/>
        <family val="2"/>
      </rPr>
      <t xml:space="preserve">연결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설정 동기화</t>
    </r>
  </si>
  <si>
    <r>
      <rPr>
        <sz val="9.5"/>
        <rFont val="Noto Sans CJK SC"/>
        <family val="2"/>
      </rPr>
      <t xml:space="preserve">앱에서 기준 변경 → 웹 반영</t>
    </r>
    <r>
      <rPr>
        <sz val="9.5"/>
        <rFont val="맑은 고딕"/>
        <family val="0"/>
        <charset val="1"/>
      </rPr>
      <t xml:space="preserve">, DB </t>
    </r>
    <r>
      <rPr>
        <sz val="9.5"/>
        <rFont val="Noto Sans CJK SC"/>
        <family val="2"/>
      </rPr>
      <t xml:space="preserve">저장 확인</t>
    </r>
  </si>
  <si>
    <r>
      <rPr>
        <sz val="9.5"/>
        <rFont val="Noto Sans CJK SC"/>
        <family val="2"/>
      </rPr>
      <t xml:space="preserve">노트북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휴대폰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사용자 확인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</si>
  <si>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웹 반영 </t>
    </r>
    <r>
      <rPr>
        <sz val="9.5"/>
        <rFont val="맑은 고딕"/>
        <family val="0"/>
        <charset val="1"/>
      </rPr>
      <t xml:space="preserve">· DB </t>
    </r>
    <r>
      <rPr>
        <sz val="9.5"/>
        <rFont val="Noto Sans CJK SC"/>
        <family val="2"/>
      </rPr>
      <t xml:space="preserve">저장</t>
    </r>
  </si>
  <si>
    <t xml:space="preserve">ST-02</t>
  </si>
  <si>
    <r>
      <rPr>
        <sz val="9.5"/>
        <rFont val="맑은 고딕"/>
        <family val="0"/>
        <charset val="1"/>
      </rPr>
      <t xml:space="preserve">OCR · </t>
    </r>
    <r>
      <rPr>
        <sz val="9.5"/>
        <rFont val="Noto Sans CJK SC"/>
        <family val="2"/>
      </rPr>
      <t xml:space="preserve">바코드 </t>
    </r>
    <r>
      <rPr>
        <sz val="9.5"/>
        <rFont val="맑은 고딕"/>
        <family val="0"/>
        <charset val="1"/>
      </rPr>
      <t xml:space="preserve">· QR · </t>
    </r>
    <r>
      <rPr>
        <sz val="9.5"/>
        <rFont val="Noto Sans CJK SC"/>
        <family val="2"/>
      </rPr>
      <t xml:space="preserve">지도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예지보전 기준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차량 사진</t>
    </r>
    <r>
      <rPr>
        <sz val="9.5"/>
        <rFont val="맑은 고딕"/>
        <family val="0"/>
        <charset val="1"/>
      </rPr>
      <t xml:space="preserve">/</t>
    </r>
    <r>
      <rPr>
        <sz val="9.5"/>
        <rFont val="Noto Sans CJK SC"/>
        <family val="2"/>
      </rPr>
      <t xml:space="preserve">판정</t>
    </r>
  </si>
  <si>
    <r>
      <rPr>
        <sz val="9.5"/>
        <rFont val="Noto Sans CJK SC"/>
        <family val="2"/>
      </rPr>
      <t xml:space="preserve">노트북 웹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휴대폰 앱 동작</t>
    </r>
  </si>
  <si>
    <t xml:space="preserve">사용자 확인</t>
  </si>
  <si>
    <t xml:space="preserve">모두 동작</t>
  </si>
  <si>
    <t xml:space="preserve">ST-03</t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</si>
  <si>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서버 실행 상태</t>
    </r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</si>
  <si>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서버 문서 페이지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백엔드 상태 확인</t>
    </r>
  </si>
  <si>
    <t xml:space="preserve">노트북 브라우저</t>
  </si>
  <si>
    <t xml:space="preserve">ST-04</t>
  </si>
  <si>
    <r>
      <rPr>
        <sz val="9.5"/>
        <rFont val="Noto Sans CJK SC"/>
        <family val="2"/>
      </rPr>
      <t xml:space="preserve">앱 게이트 </t>
    </r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표시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사진</t>
    </r>
  </si>
  <si>
    <t xml:space="preserve">새 앱 설치 후 확인</t>
  </si>
  <si>
    <r>
      <rPr>
        <sz val="9.5"/>
        <rFont val="Noto Sans CJK SC"/>
        <family val="2"/>
      </rPr>
      <t xml:space="preserve">휴대폰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사용자 확인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</si>
  <si>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결과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사진 표시</t>
    </r>
  </si>
  <si>
    <r>
      <rPr>
        <b val="true"/>
        <sz val="15"/>
        <color rgb="FF0B1520"/>
        <rFont val="맑은 고딕"/>
        <family val="0"/>
        <charset val="1"/>
      </rPr>
      <t xml:space="preserve">15 </t>
    </r>
    <r>
      <rPr>
        <b val="true"/>
        <sz val="15"/>
        <color rgb="FF0B1520"/>
        <rFont val="Noto Sans CJK SC"/>
        <family val="2"/>
      </rPr>
      <t xml:space="preserve">테스트결과서 </t>
    </r>
    <r>
      <rPr>
        <b val="true"/>
        <sz val="15"/>
        <color rgb="FF0B1520"/>
        <rFont val="맑은 고딕"/>
        <family val="0"/>
        <charset val="1"/>
      </rPr>
      <t xml:space="preserve">(</t>
    </r>
    <r>
      <rPr>
        <b val="true"/>
        <sz val="15"/>
        <color rgb="FF0B1520"/>
        <rFont val="Noto Sans CJK SC"/>
        <family val="2"/>
      </rPr>
      <t xml:space="preserve">단위 </t>
    </r>
    <r>
      <rPr>
        <b val="true"/>
        <sz val="15"/>
        <color rgb="FF0B1520"/>
        <rFont val="맑은 고딕"/>
        <family val="0"/>
        <charset val="1"/>
      </rPr>
      <t xml:space="preserve">· </t>
    </r>
    <r>
      <rPr>
        <b val="true"/>
        <sz val="15"/>
        <color rgb="FF0B1520"/>
        <rFont val="Noto Sans CJK SC"/>
        <family val="2"/>
      </rPr>
      <t xml:space="preserve">통합</t>
    </r>
    <r>
      <rPr>
        <b val="true"/>
        <sz val="15"/>
        <color rgb="FF0B1520"/>
        <rFont val="맑은 고딕"/>
        <family val="0"/>
        <charset val="1"/>
      </rPr>
      <t xml:space="preserve">)</t>
    </r>
  </si>
  <si>
    <t xml:space="preserve">실행일</t>
  </si>
  <si>
    <t xml:space="preserve">결과</t>
  </si>
  <si>
    <t xml:space="preserve">실제 결과</t>
  </si>
  <si>
    <r>
      <rPr>
        <b val="true"/>
        <sz val="10"/>
        <color rgb="FFFFFFFF"/>
        <rFont val="Noto Sans CJK SC"/>
        <family val="2"/>
      </rPr>
      <t xml:space="preserve">발견 결함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조치</t>
    </r>
  </si>
  <si>
    <t xml:space="preserve">통과</t>
  </si>
  <si>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개 모두 일치</t>
    </r>
  </si>
  <si>
    <t xml:space="preserve">GEZDGNBV… ↔ 12345678901234567890</t>
  </si>
  <si>
    <r>
      <rPr>
        <sz val="9.5"/>
        <rFont val="맑은 고딕"/>
        <family val="0"/>
        <charset val="1"/>
      </rPr>
      <t xml:space="preserve">4</t>
    </r>
    <r>
      <rPr>
        <sz val="9.5"/>
        <rFont val="Noto Sans CJK SC"/>
        <family val="2"/>
      </rPr>
      <t xml:space="preserve">개 모두 일치</t>
    </r>
  </si>
  <si>
    <t xml:space="preserve">수정 후 통과</t>
  </si>
  <si>
    <r>
      <rPr>
        <sz val="9.5"/>
        <rFont val="Noto Sans CJK SC"/>
        <family val="2"/>
      </rPr>
      <t xml:space="preserve">예약 전 </t>
    </r>
    <r>
      <rPr>
        <sz val="9.5"/>
        <rFont val="맑은 고딕"/>
        <family val="0"/>
        <charset val="1"/>
      </rPr>
      <t xml:space="preserve">41</t>
    </r>
    <r>
      <rPr>
        <sz val="9.5"/>
        <rFont val="Noto Sans CJK SC"/>
        <family val="2"/>
      </rPr>
      <t xml:space="preserve">건 → 감속 추가 후 </t>
    </r>
    <r>
      <rPr>
        <sz val="9.5"/>
        <rFont val="맑은 고딕"/>
        <family val="0"/>
        <charset val="1"/>
      </rPr>
      <t xml:space="preserve">0</t>
    </r>
    <r>
      <rPr>
        <sz val="9.5"/>
        <rFont val="Noto Sans CJK SC"/>
        <family val="2"/>
      </rPr>
      <t xml:space="preserve">건</t>
    </r>
  </si>
  <si>
    <r>
      <rPr>
        <sz val="9.5"/>
        <rFont val="Noto Sans CJK SC"/>
        <family val="2"/>
      </rPr>
      <t xml:space="preserve">처음엔 겹침이 절반만 줄어듦 → 근접 감지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제동 거리 감속 추가 </t>
    </r>
    <r>
      <rPr>
        <sz val="9.5"/>
        <rFont val="맑은 고딕"/>
        <family val="0"/>
        <charset val="1"/>
      </rPr>
      <t xml:space="preserve">(35cd5ee)</t>
    </r>
  </si>
  <si>
    <t xml:space="preserve">정상 표시</t>
  </si>
  <si>
    <r>
      <rPr>
        <sz val="9.5"/>
        <rFont val="Noto Sans CJK SC"/>
        <family val="2"/>
      </rPr>
      <t xml:space="preserve">해시가 음수가 되어 </t>
    </r>
    <r>
      <rPr>
        <sz val="9.5"/>
        <rFont val="맑은 고딕"/>
        <family val="0"/>
        <charset val="1"/>
      </rPr>
      <t xml:space="preserve">NaN → </t>
    </r>
    <r>
      <rPr>
        <sz val="9.5"/>
        <rFont val="Noto Sans CJK SC"/>
        <family val="2"/>
      </rPr>
      <t xml:space="preserve">부호 없는 시프트로 수정</t>
    </r>
  </si>
  <si>
    <r>
      <rPr>
        <sz val="9.5"/>
        <rFont val="Noto Sans CJK SC"/>
        <family val="2"/>
      </rPr>
      <t xml:space="preserve">스텁 환경 검사로 실제 </t>
    </r>
    <r>
      <rPr>
        <sz val="9.5"/>
        <rFont val="맑은 고딕"/>
        <family val="0"/>
        <charset val="1"/>
      </rPr>
      <t xml:space="preserve">Spring </t>
    </r>
    <r>
      <rPr>
        <sz val="9.5"/>
        <rFont val="Noto Sans CJK SC"/>
        <family val="2"/>
      </rPr>
      <t xml:space="preserve">실행은 실기기 확인</t>
    </r>
    <r>
      <rPr>
        <sz val="9.5"/>
        <rFont val="맑은 고딕"/>
        <family val="0"/>
        <charset val="1"/>
      </rPr>
      <t xml:space="preserve">(ST)</t>
    </r>
    <r>
      <rPr>
        <sz val="9.5"/>
        <rFont val="Noto Sans CJK SC"/>
        <family val="2"/>
      </rPr>
      <t xml:space="preserve">에서 확인</t>
    </r>
  </si>
  <si>
    <r>
      <rPr>
        <sz val="9.5"/>
        <rFont val="Noto Sans CJK SC"/>
        <family val="2"/>
      </rPr>
      <t xml:space="preserve">일치 </t>
    </r>
    <r>
      <rPr>
        <sz val="9.5"/>
        <rFont val="맑은 고딕"/>
        <family val="0"/>
        <charset val="1"/>
      </rPr>
      <t xml:space="preserve">(30</t>
    </r>
    <r>
      <rPr>
        <sz val="9.5"/>
        <rFont val="Noto Sans CJK SC"/>
        <family val="2"/>
      </rPr>
      <t xml:space="preserve">초 경계 </t>
    </r>
    <r>
      <rPr>
        <sz val="9.5"/>
        <rFont val="맑은 고딕"/>
        <family val="0"/>
        <charset val="1"/>
      </rPr>
      <t xml:space="preserve">1</t>
    </r>
    <r>
      <rPr>
        <sz val="9.5"/>
        <rFont val="Noto Sans CJK SC"/>
        <family val="2"/>
      </rPr>
      <t xml:space="preserve">회 불일치는 재실행 시 일치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</si>
  <si>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주소 </t>
    </r>
    <r>
      <rPr>
        <sz val="9.5"/>
        <rFont val="맑은 고딕"/>
        <family val="0"/>
        <charset val="1"/>
      </rPr>
      <t xml:space="preserve">localhost:8080 </t>
    </r>
    <r>
      <rPr>
        <sz val="9.5"/>
        <rFont val="Noto Sans CJK SC"/>
        <family val="2"/>
      </rPr>
      <t xml:space="preserve">설정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잠금 해제</t>
    </r>
  </si>
  <si>
    <t xml:space="preserve">서버 못 찾는 화면 제목이 숨겨짐 → 표시하도록 수정</t>
  </si>
  <si>
    <r>
      <rPr>
        <sz val="9.5"/>
        <rFont val="Noto Sans CJK SC"/>
        <family val="2"/>
      </rPr>
      <t xml:space="preserve">앱의 기존 </t>
    </r>
    <r>
      <rPr>
        <sz val="9.5"/>
        <rFont val="맑은 고딕"/>
        <family val="0"/>
        <charset val="1"/>
      </rPr>
      <t xml:space="preserve">'ag' </t>
    </r>
    <r>
      <rPr>
        <sz val="9.5"/>
        <rFont val="Noto Sans CJK SC"/>
        <family val="2"/>
      </rPr>
      <t xml:space="preserve">클래스와 이름 충돌 → 클래스 이름 변경</t>
    </r>
  </si>
  <si>
    <t xml:space="preserve">잠금 화면 표시</t>
  </si>
  <si>
    <t xml:space="preserve">amr_app_notify = warn</t>
  </si>
  <si>
    <t xml:space="preserve">입구 이동 후 원위치</t>
  </si>
  <si>
    <t xml:space="preserve">화면이 느리면 복귀가 덜 됨 → 마지막에 원래 위치로 맞춤</t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</si>
  <si>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0"/>
        <charset val="1"/>
      </rPr>
      <t xml:space="preserve">· </t>
    </r>
    <r>
      <rPr>
        <sz val="9.5"/>
        <rFont val="Noto Sans CJK SC"/>
        <family val="2"/>
      </rPr>
      <t xml:space="preserve">앱 모두 상태 변경</t>
    </r>
  </si>
  <si>
    <r>
      <rPr>
        <sz val="9.5"/>
        <rFont val="Noto Sans CJK SC"/>
        <family val="2"/>
      </rPr>
      <t xml:space="preserve">함수 이름 중복</t>
    </r>
    <r>
      <rPr>
        <sz val="9.5"/>
        <rFont val="맑은 고딕"/>
        <family val="0"/>
        <charset val="1"/>
      </rPr>
      <t xml:space="preserve">(notice)</t>
    </r>
    <r>
      <rPr>
        <sz val="9.5"/>
        <rFont val="Noto Sans CJK SC"/>
        <family val="2"/>
      </rPr>
      <t xml:space="preserve">으로 화면 오류 → 이름 변경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앱 문구 수정 중 문법 오류 → 수정</t>
    </r>
  </si>
  <si>
    <r>
      <rPr>
        <sz val="9.5"/>
        <rFont val="Noto Sans CJK SC"/>
        <family val="2"/>
      </rPr>
      <t xml:space="preserve">경기</t>
    </r>
    <r>
      <rPr>
        <sz val="9.5"/>
        <rFont val="맑은 고딕"/>
        <family val="0"/>
        <charset val="1"/>
      </rPr>
      <t xml:space="preserve">92</t>
    </r>
    <r>
      <rPr>
        <sz val="9.5"/>
        <rFont val="Noto Sans CJK SC"/>
        <family val="2"/>
      </rPr>
      <t xml:space="preserve">아</t>
    </r>
    <r>
      <rPr>
        <sz val="9.5"/>
        <rFont val="맑은 고딕"/>
        <family val="0"/>
        <charset val="1"/>
      </rPr>
      <t xml:space="preserve">5439 · 98.1% </t>
    </r>
    <r>
      <rPr>
        <sz val="9.5"/>
        <rFont val="Noto Sans CJK SC"/>
        <family val="2"/>
      </rPr>
      <t xml:space="preserve">표시</t>
    </r>
  </si>
  <si>
    <r>
      <rPr>
        <sz val="9.5"/>
        <rFont val="Noto Sans CJK SC"/>
        <family val="2"/>
      </rPr>
      <t xml:space="preserve">사진 로드</t>
    </r>
    <r>
      <rPr>
        <sz val="9.5"/>
        <rFont val="맑은 고딕"/>
        <family val="0"/>
        <charset val="1"/>
      </rPr>
      <t xml:space="preserve">(320px)</t>
    </r>
  </si>
  <si>
    <t xml:space="preserve">사진 로드</t>
  </si>
  <si>
    <t xml:space="preserve">정상 처리</t>
  </si>
  <si>
    <r>
      <rPr>
        <sz val="9.5"/>
        <rFont val="Noto Sans CJK SC"/>
        <family val="2"/>
      </rPr>
      <t xml:space="preserve">첫 기록을 옛날 기록으로 보고 무시 → 첫 응답 기준으로 수정 </t>
    </r>
    <r>
      <rPr>
        <sz val="9.5"/>
        <rFont val="맑은 고딕"/>
        <family val="0"/>
        <charset val="1"/>
      </rPr>
      <t xml:space="preserve">(c2b0788)</t>
    </r>
  </si>
  <si>
    <t xml:space="preserve">2026-10-14~15</t>
  </si>
  <si>
    <r>
      <rPr>
        <sz val="9.5"/>
        <rFont val="Noto Sans CJK SC"/>
        <family val="2"/>
      </rPr>
      <t xml:space="preserve">사용자 확인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게이트 자동만 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애매</t>
    </r>
    <r>
      <rPr>
        <sz val="9.5"/>
        <rFont val="맑은 고딕"/>
        <family val="0"/>
        <charset val="1"/>
      </rPr>
      <t xml:space="preserve">' → IT-07</t>
    </r>
    <r>
      <rPr>
        <sz val="9.5"/>
        <rFont val="Noto Sans CJK SC"/>
        <family val="2"/>
      </rPr>
      <t xml:space="preserve">로 개선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</si>
  <si>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맑은 고딕"/>
        <family val="0"/>
        <charset val="1"/>
      </rPr>
      <t xml:space="preserve">8001 · 8080 </t>
    </r>
    <r>
      <rPr>
        <sz val="9.5"/>
        <rFont val="Noto Sans CJK SC"/>
        <family val="2"/>
      </rPr>
      <t xml:space="preserve">응답</t>
    </r>
    <r>
      <rPr>
        <sz val="9.5"/>
        <rFont val="맑은 고딕"/>
        <family val="0"/>
        <charset val="1"/>
      </rPr>
      <t xml:space="preserve">, AMR API </t>
    </r>
    <r>
      <rPr>
        <sz val="9.5"/>
        <rFont val="Noto Sans CJK SC"/>
        <family val="2"/>
      </rPr>
      <t xml:space="preserve">인증 잠금 동작</t>
    </r>
  </si>
  <si>
    <r>
      <rPr>
        <sz val="9.5"/>
        <rFont val="맑은 고딕"/>
        <family val="0"/>
        <charset val="1"/>
      </rPr>
      <t xml:space="preserve">OCR </t>
    </r>
    <r>
      <rPr>
        <sz val="9.5"/>
        <rFont val="Noto Sans CJK SC"/>
        <family val="2"/>
      </rPr>
      <t xml:space="preserve">배지 </t>
    </r>
    <r>
      <rPr>
        <sz val="9.5"/>
        <rFont val="맑은 고딕"/>
        <family val="0"/>
        <charset val="1"/>
      </rPr>
      <t xml:space="preserve">503 → OCR </t>
    </r>
    <r>
      <rPr>
        <sz val="9.5"/>
        <rFont val="Noto Sans CJK SC"/>
        <family val="2"/>
      </rPr>
      <t xml:space="preserve">서버가 꺼져 있었음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재실행</t>
    </r>
    <r>
      <rPr>
        <sz val="9.5"/>
        <rFont val="맑은 고딕"/>
        <family val="0"/>
        <charset val="1"/>
      </rPr>
      <t xml:space="preserve">)</t>
    </r>
  </si>
  <si>
    <t xml:space="preserve">확인 대기</t>
  </si>
  <si>
    <r>
      <rPr>
        <sz val="9.5"/>
        <rFont val="맑은 고딕"/>
        <family val="0"/>
        <charset val="1"/>
      </rPr>
      <t xml:space="preserve">IT-08 · IT-09 </t>
    </r>
    <r>
      <rPr>
        <sz val="9.5"/>
        <rFont val="Noto Sans CJK SC"/>
        <family val="2"/>
      </rPr>
      <t xml:space="preserve">통과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실기기 재확인 필요</t>
    </r>
  </si>
  <si>
    <r>
      <rPr>
        <sz val="9.5"/>
        <rFont val="맑은 고딕"/>
        <family val="0"/>
        <charset val="1"/>
      </rPr>
      <t xml:space="preserve">e6f6ab0 </t>
    </r>
    <r>
      <rPr>
        <sz val="9.5"/>
        <rFont val="Noto Sans CJK SC"/>
        <family val="2"/>
      </rPr>
      <t xml:space="preserve">적용 후 재확인</t>
    </r>
  </si>
  <si>
    <t xml:space="preserve">전체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</si>
</sst>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1520"/>
      <name val="Noto Sans CJK SC"/>
      <family val="2"/>
    </font>
    <font>
      <b val="true"/>
      <sz val="20"/>
      <color rgb="FF0B1520"/>
      <name val="맑은 고딕"/>
      <family val="0"/>
      <charset val="1"/>
    </font>
    <font>
      <b val="true"/>
      <sz val="13"/>
      <color rgb="FF0FA996"/>
      <name val="Noto Sans CJK SC"/>
      <family val="2"/>
    </font>
    <font>
      <b val="true"/>
      <sz val="13"/>
      <color rgb="FF0FA996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1"/>
      <color rgb="FF0B1520"/>
      <name val="Noto Sans CJK SC"/>
      <family val="2"/>
    </font>
    <font>
      <b val="true"/>
      <sz val="10"/>
      <color rgb="FF0FA996"/>
      <name val="맑은 고딕"/>
      <family val="0"/>
      <charset val="1"/>
    </font>
    <font>
      <sz val="9.5"/>
      <color rgb="FF56677A"/>
      <name val="Noto Sans CJK SC"/>
      <family val="2"/>
    </font>
    <font>
      <sz val="9.5"/>
      <color rgb="FF56677A"/>
      <name val="맑은 고딕"/>
      <family val="0"/>
      <charset val="1"/>
    </font>
    <font>
      <b val="true"/>
      <sz val="15"/>
      <color rgb="FF0B1520"/>
      <name val="맑은 고딕"/>
      <family val="0"/>
      <charset val="1"/>
    </font>
    <font>
      <b val="true"/>
      <sz val="15"/>
      <color rgb="FF0B1520"/>
      <name val="Noto Sans CJK SC"/>
      <family val="2"/>
    </font>
    <font>
      <sz val="9"/>
      <color rgb="FF56677A"/>
      <name val="Noto Sans CJK SC"/>
      <family val="2"/>
    </font>
    <font>
      <sz val="9"/>
      <color rgb="FF56677A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9.5"/>
      <name val="맑은 고딕"/>
      <family val="0"/>
      <charset val="1"/>
    </font>
    <font>
      <sz val="9.5"/>
      <name val="Noto Sans CJK SC"/>
      <family val="2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9.5"/>
      <name val="맑은 고딕"/>
      <family val="0"/>
      <charset val="1"/>
    </font>
    <font>
      <b val="true"/>
      <sz val="9.5"/>
      <name val="Noto Sans CJK SC"/>
      <family val="2"/>
    </font>
    <font>
      <b val="true"/>
      <sz val="11"/>
      <color rgb="FFFFFFFF"/>
      <name val="맑은 고딕"/>
      <family val="0"/>
      <charset val="1"/>
    </font>
    <font>
      <b val="true"/>
      <sz val="10"/>
      <color rgb="FF0B1520"/>
      <name val="Noto Sans CJK SC"/>
      <family val="2"/>
    </font>
    <font>
      <b val="true"/>
      <sz val="10"/>
      <color rgb="FF0B1520"/>
      <name val="맑은 고딕"/>
      <family val="0"/>
      <charset val="1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EEF3F7"/>
        <bgColor rgb="FFD8F1EE"/>
      </patternFill>
    </fill>
    <fill>
      <patternFill patternType="solid">
        <fgColor rgb="FF0B1520"/>
        <bgColor rgb="FF000000"/>
      </patternFill>
    </fill>
    <fill>
      <patternFill patternType="solid">
        <fgColor rgb="FFD8F1EE"/>
        <bgColor rgb="FFEEF3F7"/>
      </patternFill>
    </fill>
    <fill>
      <patternFill patternType="solid">
        <fgColor rgb="FF0FA99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2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7"/>
      <rgbColor rgb="FFD8F1EE"/>
      <rgbColor rgb="FF660066"/>
      <rgbColor rgb="FFFF8080"/>
      <rgbColor rgb="FF0066CC"/>
      <rgbColor rgb="FFC9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77A"/>
      <rgbColor rgb="FF969696"/>
      <rgbColor rgb="FF003366"/>
      <rgbColor rgb="FF0FA996"/>
      <rgbColor rgb="FF0B15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MR_&#49328;&#52636;&#47932;_&#54364;.xlsx" TargetMode="External"/><Relationship Id="rId2" Type="http://schemas.openxmlformats.org/officeDocument/2006/relationships/hyperlink" Target="AMR_&#49328;&#52636;&#47932;_&#54364;.xlsx" TargetMode="External"/><Relationship Id="rId3" Type="http://schemas.openxmlformats.org/officeDocument/2006/relationships/hyperlink" Target="AMR_&#49328;&#52636;&#47932;_&#54364;.xlsx" TargetMode="External"/><Relationship Id="rId4" Type="http://schemas.openxmlformats.org/officeDocument/2006/relationships/hyperlink" Target="AMR_&#49328;&#52636;&#47932;_&#54364;.xlsx" TargetMode="External"/><Relationship Id="rId5" Type="http://schemas.openxmlformats.org/officeDocument/2006/relationships/hyperlink" Target="AMR_&#49328;&#52636;&#47932;_&#54364;.xlsx" TargetMode="External"/><Relationship Id="rId6" Type="http://schemas.openxmlformats.org/officeDocument/2006/relationships/hyperlink" Target="AMR_&#49328;&#52636;&#47932;_&#54364;.xlsx" TargetMode="External"/><Relationship Id="rId7" Type="http://schemas.openxmlformats.org/officeDocument/2006/relationships/hyperlink" Target="AMR_&#49328;&#52636;&#47932;_&#54364;.xlsx" TargetMode="External"/><Relationship Id="rId8" Type="http://schemas.openxmlformats.org/officeDocument/2006/relationships/hyperlink" Target="AMR_&#49328;&#52636;&#47932;_&#54364;.xlsx" TargetMode="External"/><Relationship Id="rId9" Type="http://schemas.openxmlformats.org/officeDocument/2006/relationships/hyperlink" Target="AMR_&#49328;&#52636;&#47932;_&#54364;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30.55" hidden="false" customHeight="false" outlineLevel="0" collapsed="false">
      <c r="B2" s="1" t="s">
        <v>0</v>
      </c>
    </row>
    <row r="3" customFormat="false" ht="20.1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5" t="s">
        <v>5</v>
      </c>
    </row>
    <row r="7" customFormat="false" ht="15" hidden="false" customHeight="false" outlineLevel="0" collapsed="false">
      <c r="B7" s="3" t="s">
        <v>6</v>
      </c>
      <c r="C7" s="5" t="s">
        <v>7</v>
      </c>
    </row>
    <row r="8" customFormat="false" ht="15" hidden="false" customHeight="false" outlineLevel="0" collapsed="false">
      <c r="B8" s="3" t="s">
        <v>8</v>
      </c>
      <c r="C8" s="4"/>
    </row>
    <row r="9" customFormat="false" ht="15" hidden="false" customHeight="false" outlineLevel="0" collapsed="false">
      <c r="B9" s="3" t="s">
        <v>9</v>
      </c>
      <c r="C9" s="5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2" customFormat="false" ht="15" hidden="false" customHeight="false" outlineLevel="0" collapsed="false">
      <c r="B12" s="6" t="s">
        <v>13</v>
      </c>
    </row>
    <row r="13" customFormat="false" ht="15" hidden="false" customHeight="false" outlineLevel="0" collapsed="false">
      <c r="B13" s="7" t="s">
        <v>14</v>
      </c>
      <c r="C13" s="8" t="s">
        <v>15</v>
      </c>
    </row>
    <row r="14" customFormat="false" ht="15" hidden="false" customHeight="false" outlineLevel="0" collapsed="false">
      <c r="B14" s="7" t="s">
        <v>16</v>
      </c>
      <c r="C14" s="8" t="s">
        <v>17</v>
      </c>
    </row>
    <row r="15" customFormat="false" ht="15" hidden="false" customHeight="false" outlineLevel="0" collapsed="false">
      <c r="B15" s="7" t="s">
        <v>18</v>
      </c>
      <c r="C15" s="8" t="s">
        <v>19</v>
      </c>
    </row>
    <row r="16" customFormat="false" ht="15" hidden="false" customHeight="false" outlineLevel="0" collapsed="false">
      <c r="B16" s="7" t="s">
        <v>20</v>
      </c>
      <c r="C16" s="9" t="s">
        <v>21</v>
      </c>
    </row>
    <row r="17" customFormat="false" ht="15" hidden="false" customHeight="false" outlineLevel="0" collapsed="false">
      <c r="B17" s="7" t="s">
        <v>22</v>
      </c>
      <c r="C17" s="8" t="s">
        <v>23</v>
      </c>
    </row>
    <row r="18" customFormat="false" ht="15" hidden="false" customHeight="false" outlineLevel="0" collapsed="false">
      <c r="B18" s="7" t="s">
        <v>24</v>
      </c>
      <c r="C18" s="8" t="s">
        <v>25</v>
      </c>
    </row>
    <row r="19" customFormat="false" ht="15" hidden="false" customHeight="false" outlineLevel="0" collapsed="false">
      <c r="B19" s="7" t="s">
        <v>26</v>
      </c>
      <c r="C19" s="8" t="s">
        <v>27</v>
      </c>
    </row>
    <row r="20" customFormat="false" ht="15" hidden="false" customHeight="false" outlineLevel="0" collapsed="false">
      <c r="B20" s="7" t="s">
        <v>28</v>
      </c>
      <c r="C20" s="8" t="s">
        <v>29</v>
      </c>
    </row>
    <row r="21" customFormat="false" ht="15" hidden="false" customHeight="false" outlineLevel="0" collapsed="false">
      <c r="B21" s="7" t="s">
        <v>30</v>
      </c>
      <c r="C21" s="8" t="s">
        <v>31</v>
      </c>
    </row>
    <row r="23" customFormat="false" ht="15" hidden="false" customHeight="false" outlineLevel="0" collapsed="false">
      <c r="B23" s="10" t="s">
        <v>32</v>
      </c>
    </row>
  </sheetData>
  <hyperlinks>
    <hyperlink ref="B13" r:id="rId1" location="'05_테일러링'!A1" display="05_테일러링"/>
    <hyperlink ref="B14" r:id="rId2" location="'06_요구사항정의서'!A1" display="06_요구사항정의서"/>
    <hyperlink ref="B15" r:id="rId3" location="'07_WBS'!A1" display="07_WBS"/>
    <hyperlink ref="B16" r:id="rId4" location="'08_주간보고'!A1" display="08_주간보고"/>
    <hyperlink ref="B17" r:id="rId5" location="'11_DB정의서'!A1" display="11_DB정의서"/>
    <hyperlink ref="B18" r:id="rId6" location="'12_API정의서'!A1" display="12_API정의서"/>
    <hyperlink ref="B19" r:id="rId7" location="'13_개발일지'!A1" display="13_개발일지"/>
    <hyperlink ref="B20" r:id="rId8" location="'14_테스트계획서'!A1" display="14_테스트계획서"/>
    <hyperlink ref="B21" r:id="rId9" location="'15_테스트결과서'!A1" display="15_테스트결과서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23.1" hidden="false" customHeight="false" outlineLevel="0" collapsed="false">
      <c r="A1" s="11" t="s">
        <v>33</v>
      </c>
    </row>
    <row r="2" customFormat="false" ht="15" hidden="false" customHeight="false" outlineLevel="0" collapsed="false">
      <c r="A2" s="12" t="s">
        <v>34</v>
      </c>
    </row>
    <row r="4" customFormat="false" ht="15" hidden="false" customHeight="false" outlineLevel="0" collapsed="false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</row>
    <row r="5" customFormat="false" ht="15" hidden="false" customHeight="false" outlineLevel="0" collapsed="false">
      <c r="A5" s="14" t="n">
        <v>1</v>
      </c>
      <c r="B5" s="15" t="s">
        <v>40</v>
      </c>
      <c r="C5" s="16" t="s">
        <v>41</v>
      </c>
      <c r="D5" s="17" t="s">
        <v>42</v>
      </c>
      <c r="E5" s="17" t="s">
        <v>43</v>
      </c>
    </row>
    <row r="6" customFormat="false" ht="15" hidden="false" customHeight="false" outlineLevel="0" collapsed="false">
      <c r="A6" s="18" t="n">
        <v>2</v>
      </c>
      <c r="B6" s="19" t="s">
        <v>44</v>
      </c>
      <c r="C6" s="20" t="s">
        <v>37</v>
      </c>
      <c r="D6" s="19" t="s">
        <v>45</v>
      </c>
      <c r="E6" s="19" t="s">
        <v>46</v>
      </c>
    </row>
    <row r="7" customFormat="false" ht="15" hidden="false" customHeight="false" outlineLevel="0" collapsed="false">
      <c r="A7" s="14" t="n">
        <v>3</v>
      </c>
      <c r="B7" s="15" t="s">
        <v>47</v>
      </c>
      <c r="C7" s="16" t="s">
        <v>37</v>
      </c>
      <c r="D7" s="15" t="s">
        <v>48</v>
      </c>
      <c r="E7" s="15" t="s">
        <v>49</v>
      </c>
    </row>
    <row r="8" customFormat="false" ht="15" hidden="false" customHeight="false" outlineLevel="0" collapsed="false">
      <c r="A8" s="18" t="n">
        <v>4</v>
      </c>
      <c r="B8" s="19" t="s">
        <v>50</v>
      </c>
      <c r="C8" s="20" t="s">
        <v>37</v>
      </c>
      <c r="D8" s="19" t="s">
        <v>51</v>
      </c>
      <c r="E8" s="21" t="s">
        <v>52</v>
      </c>
    </row>
    <row r="9" customFormat="false" ht="15" hidden="false" customHeight="false" outlineLevel="0" collapsed="false">
      <c r="A9" s="14" t="n">
        <v>5</v>
      </c>
      <c r="B9" s="15" t="s">
        <v>53</v>
      </c>
      <c r="C9" s="16" t="s">
        <v>37</v>
      </c>
      <c r="D9" s="15" t="s">
        <v>54</v>
      </c>
      <c r="E9" s="15" t="s">
        <v>55</v>
      </c>
    </row>
    <row r="10" customFormat="false" ht="15" hidden="false" customHeight="false" outlineLevel="0" collapsed="false">
      <c r="A10" s="18" t="n">
        <v>6</v>
      </c>
      <c r="B10" s="19" t="s">
        <v>56</v>
      </c>
      <c r="C10" s="20" t="s">
        <v>37</v>
      </c>
      <c r="D10" s="19" t="s">
        <v>57</v>
      </c>
      <c r="E10" s="19" t="s">
        <v>58</v>
      </c>
    </row>
    <row r="11" customFormat="false" ht="15" hidden="false" customHeight="false" outlineLevel="0" collapsed="false">
      <c r="A11" s="14" t="n">
        <v>7</v>
      </c>
      <c r="B11" s="17" t="s">
        <v>59</v>
      </c>
      <c r="C11" s="16" t="s">
        <v>37</v>
      </c>
      <c r="D11" s="15" t="s">
        <v>60</v>
      </c>
      <c r="E11" s="15" t="s">
        <v>61</v>
      </c>
    </row>
    <row r="12" customFormat="false" ht="15" hidden="false" customHeight="false" outlineLevel="0" collapsed="false">
      <c r="A12" s="18" t="n">
        <v>8</v>
      </c>
      <c r="B12" s="19" t="s">
        <v>62</v>
      </c>
      <c r="C12" s="20" t="s">
        <v>63</v>
      </c>
      <c r="D12" s="19" t="s">
        <v>64</v>
      </c>
      <c r="E12" s="19" t="s">
        <v>65</v>
      </c>
    </row>
    <row r="13" customFormat="false" ht="15" hidden="false" customHeight="false" outlineLevel="0" collapsed="false">
      <c r="A13" s="14" t="n">
        <v>9</v>
      </c>
      <c r="B13" s="15" t="s">
        <v>66</v>
      </c>
      <c r="C13" s="16" t="s">
        <v>37</v>
      </c>
      <c r="D13" s="15" t="s">
        <v>67</v>
      </c>
      <c r="E13" s="15" t="s">
        <v>68</v>
      </c>
    </row>
    <row r="14" customFormat="false" ht="15" hidden="false" customHeight="false" outlineLevel="0" collapsed="false">
      <c r="A14" s="18" t="n">
        <v>10</v>
      </c>
      <c r="B14" s="21" t="s">
        <v>69</v>
      </c>
      <c r="C14" s="20" t="s">
        <v>37</v>
      </c>
      <c r="D14" s="19" t="s">
        <v>70</v>
      </c>
      <c r="E14" s="21" t="s">
        <v>71</v>
      </c>
    </row>
    <row r="15" customFormat="false" ht="15" hidden="false" customHeight="false" outlineLevel="0" collapsed="false">
      <c r="A15" s="14" t="n">
        <v>11</v>
      </c>
      <c r="B15" s="17" t="s">
        <v>72</v>
      </c>
      <c r="C15" s="16" t="s">
        <v>37</v>
      </c>
      <c r="D15" s="15" t="s">
        <v>73</v>
      </c>
      <c r="E15" s="15" t="s">
        <v>74</v>
      </c>
    </row>
    <row r="16" customFormat="false" ht="15" hidden="false" customHeight="false" outlineLevel="0" collapsed="false">
      <c r="A16" s="18" t="n">
        <v>12</v>
      </c>
      <c r="B16" s="21" t="s">
        <v>75</v>
      </c>
      <c r="C16" s="20" t="s">
        <v>37</v>
      </c>
      <c r="D16" s="19" t="s">
        <v>76</v>
      </c>
      <c r="E16" s="19" t="s">
        <v>77</v>
      </c>
    </row>
    <row r="17" customFormat="false" ht="15" hidden="false" customHeight="false" outlineLevel="0" collapsed="false">
      <c r="A17" s="14" t="n">
        <v>13</v>
      </c>
      <c r="B17" s="15" t="s">
        <v>78</v>
      </c>
      <c r="C17" s="16" t="s">
        <v>63</v>
      </c>
      <c r="D17" s="15" t="s">
        <v>79</v>
      </c>
      <c r="E17" s="15" t="s">
        <v>80</v>
      </c>
    </row>
    <row r="18" customFormat="false" ht="15" hidden="false" customHeight="false" outlineLevel="0" collapsed="false">
      <c r="A18" s="18" t="n">
        <v>14</v>
      </c>
      <c r="B18" s="19" t="s">
        <v>81</v>
      </c>
      <c r="C18" s="20" t="s">
        <v>37</v>
      </c>
      <c r="D18" s="19" t="s">
        <v>82</v>
      </c>
      <c r="E18" s="19" t="s">
        <v>83</v>
      </c>
    </row>
    <row r="19" customFormat="false" ht="15" hidden="false" customHeight="false" outlineLevel="0" collapsed="false">
      <c r="A19" s="14" t="n">
        <v>15</v>
      </c>
      <c r="B19" s="15" t="s">
        <v>84</v>
      </c>
      <c r="C19" s="16" t="s">
        <v>37</v>
      </c>
      <c r="D19" s="15" t="s">
        <v>85</v>
      </c>
      <c r="E19" s="15" t="s">
        <v>86</v>
      </c>
    </row>
    <row r="20" customFormat="false" ht="15" hidden="false" customHeight="false" outlineLevel="0" collapsed="false">
      <c r="A20" s="18" t="n">
        <v>16</v>
      </c>
      <c r="B20" s="19" t="s">
        <v>87</v>
      </c>
      <c r="C20" s="20" t="s">
        <v>88</v>
      </c>
      <c r="D20" s="19" t="s">
        <v>89</v>
      </c>
      <c r="E20" s="21" t="s">
        <v>90</v>
      </c>
    </row>
    <row r="22" customFormat="false" ht="15" hidden="false" customHeight="false" outlineLevel="0" collapsed="false">
      <c r="B22" s="22" t="s">
        <v>37</v>
      </c>
      <c r="C22" s="23" t="n">
        <f aca="false">COUNTIF(C5:C20,"적용*")</f>
        <v>14</v>
      </c>
    </row>
    <row r="23" customFormat="false" ht="15" hidden="false" customHeight="false" outlineLevel="0" collapsed="false">
      <c r="B23" s="22" t="s">
        <v>41</v>
      </c>
      <c r="C23" s="23" t="n">
        <f aca="false">COUNTIF(C5:C20,"제외")</f>
        <v>1</v>
      </c>
    </row>
    <row r="24" customFormat="false" ht="15" hidden="false" customHeight="false" outlineLevel="0" collapsed="false">
      <c r="B24" s="22" t="s">
        <v>88</v>
      </c>
      <c r="C24" s="23" t="n">
        <f aca="false">COUNTIF(C5:C20,"기존 자료")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7"/>
    <col collapsed="false" customWidth="true" hidden="false" outlineLevel="0" max="10" min="10" style="0" width="20"/>
  </cols>
  <sheetData>
    <row r="1" customFormat="false" ht="23.1" hidden="false" customHeight="false" outlineLevel="0" collapsed="false">
      <c r="A1" s="11" t="s">
        <v>91</v>
      </c>
    </row>
    <row r="2" customFormat="false" ht="15" hidden="false" customHeight="false" outlineLevel="0" collapsed="false">
      <c r="A2" s="12" t="s">
        <v>34</v>
      </c>
    </row>
    <row r="4" customFormat="false" ht="15" hidden="false" customHeight="false" outlineLevel="0" collapsed="false">
      <c r="A4" s="24" t="s">
        <v>92</v>
      </c>
      <c r="B4" s="13" t="s">
        <v>93</v>
      </c>
      <c r="C4" s="13" t="s">
        <v>94</v>
      </c>
      <c r="D4" s="13" t="s">
        <v>95</v>
      </c>
      <c r="E4" s="13" t="s">
        <v>96</v>
      </c>
      <c r="F4" s="13" t="s">
        <v>97</v>
      </c>
      <c r="G4" s="13" t="s">
        <v>98</v>
      </c>
      <c r="H4" s="13" t="s">
        <v>99</v>
      </c>
      <c r="I4" s="13" t="s">
        <v>100</v>
      </c>
      <c r="J4" s="13" t="s">
        <v>101</v>
      </c>
    </row>
    <row r="5" customFormat="false" ht="29.85" hidden="false" customHeight="false" outlineLevel="0" collapsed="false">
      <c r="A5" s="14" t="s">
        <v>102</v>
      </c>
      <c r="B5" s="16" t="s">
        <v>103</v>
      </c>
      <c r="C5" s="17" t="s">
        <v>104</v>
      </c>
      <c r="D5" s="15" t="s">
        <v>105</v>
      </c>
      <c r="E5" s="15" t="s">
        <v>106</v>
      </c>
      <c r="F5" s="14" t="s">
        <v>107</v>
      </c>
      <c r="G5" s="17" t="s">
        <v>108</v>
      </c>
      <c r="H5" s="17" t="s">
        <v>42</v>
      </c>
      <c r="I5" s="16" t="s">
        <v>109</v>
      </c>
      <c r="J5" s="17" t="s">
        <v>110</v>
      </c>
    </row>
    <row r="6" customFormat="false" ht="29.85" hidden="false" customHeight="false" outlineLevel="0" collapsed="false">
      <c r="A6" s="18" t="s">
        <v>111</v>
      </c>
      <c r="B6" s="20" t="s">
        <v>103</v>
      </c>
      <c r="C6" s="21" t="s">
        <v>104</v>
      </c>
      <c r="D6" s="19" t="s">
        <v>112</v>
      </c>
      <c r="E6" s="19" t="s">
        <v>113</v>
      </c>
      <c r="F6" s="18" t="s">
        <v>107</v>
      </c>
      <c r="G6" s="21" t="s">
        <v>114</v>
      </c>
      <c r="H6" s="21" t="s">
        <v>115</v>
      </c>
      <c r="I6" s="20" t="s">
        <v>109</v>
      </c>
      <c r="J6" s="21" t="s">
        <v>110</v>
      </c>
    </row>
    <row r="7" customFormat="false" ht="29.85" hidden="false" customHeight="false" outlineLevel="0" collapsed="false">
      <c r="A7" s="14" t="s">
        <v>116</v>
      </c>
      <c r="B7" s="16" t="s">
        <v>103</v>
      </c>
      <c r="C7" s="15" t="s">
        <v>117</v>
      </c>
      <c r="D7" s="15" t="s">
        <v>118</v>
      </c>
      <c r="E7" s="15" t="s">
        <v>119</v>
      </c>
      <c r="F7" s="14" t="s">
        <v>120</v>
      </c>
      <c r="G7" s="17" t="s">
        <v>114</v>
      </c>
      <c r="H7" s="17" t="s">
        <v>121</v>
      </c>
      <c r="I7" s="16" t="s">
        <v>109</v>
      </c>
      <c r="J7" s="17" t="s">
        <v>122</v>
      </c>
    </row>
    <row r="8" customFormat="false" ht="29.85" hidden="false" customHeight="false" outlineLevel="0" collapsed="false">
      <c r="A8" s="18" t="s">
        <v>123</v>
      </c>
      <c r="B8" s="20" t="s">
        <v>103</v>
      </c>
      <c r="C8" s="19" t="s">
        <v>117</v>
      </c>
      <c r="D8" s="19" t="s">
        <v>124</v>
      </c>
      <c r="E8" s="19" t="s">
        <v>125</v>
      </c>
      <c r="F8" s="18" t="s">
        <v>126</v>
      </c>
      <c r="G8" s="21" t="s">
        <v>127</v>
      </c>
      <c r="H8" s="21" t="s">
        <v>128</v>
      </c>
      <c r="I8" s="20" t="s">
        <v>109</v>
      </c>
      <c r="J8" s="21" t="s">
        <v>129</v>
      </c>
    </row>
    <row r="9" customFormat="false" ht="15" hidden="false" customHeight="false" outlineLevel="0" collapsed="false">
      <c r="A9" s="14" t="s">
        <v>130</v>
      </c>
      <c r="B9" s="16" t="s">
        <v>103</v>
      </c>
      <c r="C9" s="17" t="s">
        <v>131</v>
      </c>
      <c r="D9" s="15" t="s">
        <v>132</v>
      </c>
      <c r="E9" s="15" t="s">
        <v>133</v>
      </c>
      <c r="F9" s="14" t="s">
        <v>120</v>
      </c>
      <c r="G9" s="17" t="s">
        <v>42</v>
      </c>
      <c r="H9" s="17" t="s">
        <v>134</v>
      </c>
      <c r="I9" s="16" t="s">
        <v>109</v>
      </c>
      <c r="J9" s="17" t="s">
        <v>122</v>
      </c>
    </row>
    <row r="10" customFormat="false" ht="15" hidden="false" customHeight="false" outlineLevel="0" collapsed="false">
      <c r="A10" s="18" t="s">
        <v>135</v>
      </c>
      <c r="B10" s="20" t="s">
        <v>103</v>
      </c>
      <c r="C10" s="19" t="s">
        <v>136</v>
      </c>
      <c r="D10" s="19" t="s">
        <v>137</v>
      </c>
      <c r="E10" s="19" t="s">
        <v>138</v>
      </c>
      <c r="F10" s="18" t="s">
        <v>139</v>
      </c>
      <c r="G10" s="21" t="s">
        <v>140</v>
      </c>
      <c r="H10" s="21" t="s">
        <v>42</v>
      </c>
      <c r="I10" s="20" t="s">
        <v>109</v>
      </c>
      <c r="J10" s="21" t="s">
        <v>141</v>
      </c>
    </row>
    <row r="11" customFormat="false" ht="27.6" hidden="false" customHeight="false" outlineLevel="0" collapsed="false">
      <c r="A11" s="14" t="s">
        <v>142</v>
      </c>
      <c r="B11" s="16" t="s">
        <v>103</v>
      </c>
      <c r="C11" s="15" t="s">
        <v>136</v>
      </c>
      <c r="D11" s="15" t="s">
        <v>143</v>
      </c>
      <c r="E11" s="15" t="s">
        <v>144</v>
      </c>
      <c r="F11" s="14" t="s">
        <v>120</v>
      </c>
      <c r="G11" s="17" t="s">
        <v>145</v>
      </c>
      <c r="H11" s="17" t="s">
        <v>42</v>
      </c>
      <c r="I11" s="16" t="s">
        <v>109</v>
      </c>
      <c r="J11" s="17" t="s">
        <v>146</v>
      </c>
    </row>
    <row r="12" customFormat="false" ht="29.85" hidden="false" customHeight="false" outlineLevel="0" collapsed="false">
      <c r="A12" s="18" t="s">
        <v>147</v>
      </c>
      <c r="B12" s="20" t="s">
        <v>103</v>
      </c>
      <c r="C12" s="21" t="s">
        <v>148</v>
      </c>
      <c r="D12" s="19" t="s">
        <v>149</v>
      </c>
      <c r="E12" s="19" t="s">
        <v>150</v>
      </c>
      <c r="F12" s="18" t="s">
        <v>126</v>
      </c>
      <c r="G12" s="21" t="s">
        <v>151</v>
      </c>
      <c r="H12" s="21" t="s">
        <v>152</v>
      </c>
      <c r="I12" s="20" t="s">
        <v>109</v>
      </c>
      <c r="J12" s="21" t="s">
        <v>153</v>
      </c>
    </row>
    <row r="13" customFormat="false" ht="15" hidden="false" customHeight="false" outlineLevel="0" collapsed="false">
      <c r="A13" s="14" t="s">
        <v>154</v>
      </c>
      <c r="B13" s="16" t="s">
        <v>103</v>
      </c>
      <c r="C13" s="17" t="s">
        <v>148</v>
      </c>
      <c r="D13" s="15" t="s">
        <v>155</v>
      </c>
      <c r="E13" s="15" t="s">
        <v>156</v>
      </c>
      <c r="F13" s="14" t="s">
        <v>126</v>
      </c>
      <c r="G13" s="17" t="s">
        <v>151</v>
      </c>
      <c r="H13" s="17" t="s">
        <v>157</v>
      </c>
      <c r="I13" s="16" t="s">
        <v>109</v>
      </c>
      <c r="J13" s="17" t="s">
        <v>153</v>
      </c>
    </row>
    <row r="14" customFormat="false" ht="29.85" hidden="false" customHeight="false" outlineLevel="0" collapsed="false">
      <c r="A14" s="18" t="s">
        <v>158</v>
      </c>
      <c r="B14" s="20" t="s">
        <v>103</v>
      </c>
      <c r="C14" s="21" t="s">
        <v>148</v>
      </c>
      <c r="D14" s="19" t="s">
        <v>159</v>
      </c>
      <c r="E14" s="19" t="s">
        <v>160</v>
      </c>
      <c r="F14" s="18" t="s">
        <v>126</v>
      </c>
      <c r="G14" s="21" t="s">
        <v>161</v>
      </c>
      <c r="H14" s="21" t="s">
        <v>162</v>
      </c>
      <c r="I14" s="20" t="s">
        <v>109</v>
      </c>
      <c r="J14" s="21" t="s">
        <v>153</v>
      </c>
    </row>
    <row r="15" customFormat="false" ht="29.85" hidden="false" customHeight="false" outlineLevel="0" collapsed="false">
      <c r="A15" s="14" t="s">
        <v>163</v>
      </c>
      <c r="B15" s="16" t="s">
        <v>103</v>
      </c>
      <c r="C15" s="15" t="s">
        <v>164</v>
      </c>
      <c r="D15" s="15" t="s">
        <v>165</v>
      </c>
      <c r="E15" s="15" t="s">
        <v>166</v>
      </c>
      <c r="F15" s="14" t="s">
        <v>126</v>
      </c>
      <c r="G15" s="17" t="s">
        <v>161</v>
      </c>
      <c r="H15" s="17" t="s">
        <v>42</v>
      </c>
      <c r="I15" s="16" t="s">
        <v>109</v>
      </c>
      <c r="J15" s="17" t="s">
        <v>167</v>
      </c>
    </row>
    <row r="16" customFormat="false" ht="29.85" hidden="false" customHeight="false" outlineLevel="0" collapsed="false">
      <c r="A16" s="18" t="s">
        <v>168</v>
      </c>
      <c r="B16" s="20" t="s">
        <v>103</v>
      </c>
      <c r="C16" s="21" t="s">
        <v>148</v>
      </c>
      <c r="D16" s="19" t="s">
        <v>169</v>
      </c>
      <c r="E16" s="19" t="s">
        <v>170</v>
      </c>
      <c r="F16" s="18" t="s">
        <v>126</v>
      </c>
      <c r="G16" s="21" t="s">
        <v>108</v>
      </c>
      <c r="H16" s="21" t="s">
        <v>42</v>
      </c>
      <c r="I16" s="20" t="s">
        <v>109</v>
      </c>
      <c r="J16" s="21" t="s">
        <v>171</v>
      </c>
    </row>
    <row r="17" customFormat="false" ht="15" hidden="false" customHeight="false" outlineLevel="0" collapsed="false">
      <c r="A17" s="14" t="s">
        <v>172</v>
      </c>
      <c r="B17" s="16" t="s">
        <v>103</v>
      </c>
      <c r="C17" s="15" t="s">
        <v>173</v>
      </c>
      <c r="D17" s="15" t="s">
        <v>174</v>
      </c>
      <c r="E17" s="15" t="s">
        <v>175</v>
      </c>
      <c r="F17" s="14" t="s">
        <v>126</v>
      </c>
      <c r="G17" s="17" t="s">
        <v>151</v>
      </c>
      <c r="H17" s="17" t="s">
        <v>42</v>
      </c>
      <c r="I17" s="16" t="s">
        <v>109</v>
      </c>
      <c r="J17" s="17" t="s">
        <v>176</v>
      </c>
    </row>
    <row r="18" customFormat="false" ht="15" hidden="false" customHeight="false" outlineLevel="0" collapsed="false">
      <c r="A18" s="18" t="s">
        <v>177</v>
      </c>
      <c r="B18" s="20" t="s">
        <v>103</v>
      </c>
      <c r="C18" s="19" t="s">
        <v>178</v>
      </c>
      <c r="D18" s="21" t="s">
        <v>179</v>
      </c>
      <c r="E18" s="19" t="s">
        <v>180</v>
      </c>
      <c r="F18" s="18" t="s">
        <v>126</v>
      </c>
      <c r="G18" s="21" t="s">
        <v>181</v>
      </c>
      <c r="H18" s="21" t="s">
        <v>182</v>
      </c>
      <c r="I18" s="20" t="s">
        <v>109</v>
      </c>
      <c r="J18" s="21" t="s">
        <v>176</v>
      </c>
    </row>
    <row r="19" customFormat="false" ht="15" hidden="false" customHeight="false" outlineLevel="0" collapsed="false">
      <c r="A19" s="14" t="s">
        <v>183</v>
      </c>
      <c r="B19" s="16" t="s">
        <v>103</v>
      </c>
      <c r="C19" s="17" t="s">
        <v>104</v>
      </c>
      <c r="D19" s="15" t="s">
        <v>184</v>
      </c>
      <c r="E19" s="15" t="s">
        <v>185</v>
      </c>
      <c r="F19" s="14" t="s">
        <v>126</v>
      </c>
      <c r="G19" s="17" t="s">
        <v>108</v>
      </c>
      <c r="H19" s="17" t="s">
        <v>42</v>
      </c>
      <c r="I19" s="16" t="s">
        <v>109</v>
      </c>
      <c r="J19" s="17" t="s">
        <v>186</v>
      </c>
    </row>
    <row r="20" customFormat="false" ht="25.35" hidden="false" customHeight="false" outlineLevel="0" collapsed="false">
      <c r="A20" s="18" t="s">
        <v>187</v>
      </c>
      <c r="B20" s="20" t="s">
        <v>103</v>
      </c>
      <c r="C20" s="21" t="s">
        <v>104</v>
      </c>
      <c r="D20" s="19" t="s">
        <v>188</v>
      </c>
      <c r="E20" s="19" t="s">
        <v>189</v>
      </c>
      <c r="F20" s="18" t="s">
        <v>126</v>
      </c>
      <c r="G20" s="21" t="s">
        <v>108</v>
      </c>
      <c r="H20" s="21" t="s">
        <v>42</v>
      </c>
      <c r="I20" s="20" t="s">
        <v>109</v>
      </c>
      <c r="J20" s="21" t="s">
        <v>190</v>
      </c>
    </row>
    <row r="21" customFormat="false" ht="29.85" hidden="false" customHeight="false" outlineLevel="0" collapsed="false">
      <c r="A21" s="14" t="s">
        <v>191</v>
      </c>
      <c r="B21" s="16" t="s">
        <v>103</v>
      </c>
      <c r="C21" s="15" t="s">
        <v>136</v>
      </c>
      <c r="D21" s="15" t="s">
        <v>192</v>
      </c>
      <c r="E21" s="15" t="s">
        <v>193</v>
      </c>
      <c r="F21" s="14" t="s">
        <v>126</v>
      </c>
      <c r="G21" s="17" t="s">
        <v>194</v>
      </c>
      <c r="H21" s="17" t="s">
        <v>42</v>
      </c>
      <c r="I21" s="16" t="s">
        <v>109</v>
      </c>
      <c r="J21" s="17" t="s">
        <v>186</v>
      </c>
    </row>
    <row r="22" customFormat="false" ht="15" hidden="false" customHeight="false" outlineLevel="0" collapsed="false">
      <c r="A22" s="18" t="s">
        <v>195</v>
      </c>
      <c r="B22" s="20" t="s">
        <v>103</v>
      </c>
      <c r="C22" s="19" t="s">
        <v>196</v>
      </c>
      <c r="D22" s="19" t="s">
        <v>197</v>
      </c>
      <c r="E22" s="19" t="s">
        <v>198</v>
      </c>
      <c r="F22" s="18" t="s">
        <v>199</v>
      </c>
      <c r="G22" s="21" t="s">
        <v>145</v>
      </c>
      <c r="H22" s="21" t="s">
        <v>42</v>
      </c>
      <c r="I22" s="20" t="s">
        <v>109</v>
      </c>
      <c r="J22" s="21" t="s">
        <v>200</v>
      </c>
    </row>
    <row r="23" customFormat="false" ht="29.85" hidden="false" customHeight="false" outlineLevel="0" collapsed="false">
      <c r="A23" s="14" t="s">
        <v>201</v>
      </c>
      <c r="B23" s="16" t="s">
        <v>103</v>
      </c>
      <c r="C23" s="15" t="s">
        <v>202</v>
      </c>
      <c r="D23" s="15" t="s">
        <v>203</v>
      </c>
      <c r="E23" s="15" t="s">
        <v>204</v>
      </c>
      <c r="F23" s="14" t="s">
        <v>199</v>
      </c>
      <c r="G23" s="17" t="s">
        <v>205</v>
      </c>
      <c r="H23" s="17" t="s">
        <v>206</v>
      </c>
      <c r="I23" s="16" t="s">
        <v>109</v>
      </c>
      <c r="J23" s="17" t="s">
        <v>207</v>
      </c>
    </row>
    <row r="24" customFormat="false" ht="29.85" hidden="false" customHeight="false" outlineLevel="0" collapsed="false">
      <c r="A24" s="18" t="s">
        <v>208</v>
      </c>
      <c r="B24" s="20" t="s">
        <v>103</v>
      </c>
      <c r="C24" s="21" t="s">
        <v>148</v>
      </c>
      <c r="D24" s="19" t="s">
        <v>209</v>
      </c>
      <c r="E24" s="19" t="s">
        <v>210</v>
      </c>
      <c r="F24" s="18" t="s">
        <v>199</v>
      </c>
      <c r="G24" s="21" t="s">
        <v>211</v>
      </c>
      <c r="H24" s="21" t="s">
        <v>212</v>
      </c>
      <c r="I24" s="20" t="s">
        <v>109</v>
      </c>
      <c r="J24" s="21" t="s">
        <v>213</v>
      </c>
    </row>
    <row r="25" customFormat="false" ht="15" hidden="false" customHeight="false" outlineLevel="0" collapsed="false">
      <c r="A25" s="14" t="s">
        <v>214</v>
      </c>
      <c r="B25" s="16" t="s">
        <v>215</v>
      </c>
      <c r="C25" s="15" t="s">
        <v>216</v>
      </c>
      <c r="D25" s="15" t="s">
        <v>217</v>
      </c>
      <c r="E25" s="15" t="s">
        <v>218</v>
      </c>
      <c r="F25" s="14" t="s">
        <v>120</v>
      </c>
      <c r="G25" s="17" t="s">
        <v>42</v>
      </c>
      <c r="H25" s="17" t="s">
        <v>115</v>
      </c>
      <c r="I25" s="16" t="s">
        <v>109</v>
      </c>
      <c r="J25" s="17" t="s">
        <v>122</v>
      </c>
    </row>
    <row r="26" customFormat="false" ht="15" hidden="false" customHeight="false" outlineLevel="0" collapsed="false">
      <c r="A26" s="18" t="s">
        <v>219</v>
      </c>
      <c r="B26" s="20" t="s">
        <v>215</v>
      </c>
      <c r="C26" s="19" t="s">
        <v>216</v>
      </c>
      <c r="D26" s="19" t="s">
        <v>220</v>
      </c>
      <c r="E26" s="19" t="s">
        <v>221</v>
      </c>
      <c r="F26" s="18" t="s">
        <v>107</v>
      </c>
      <c r="G26" s="21" t="s">
        <v>151</v>
      </c>
      <c r="H26" s="21" t="s">
        <v>42</v>
      </c>
      <c r="I26" s="20" t="s">
        <v>109</v>
      </c>
      <c r="J26" s="21" t="s">
        <v>110</v>
      </c>
    </row>
    <row r="27" customFormat="false" ht="29.85" hidden="false" customHeight="false" outlineLevel="0" collapsed="false">
      <c r="A27" s="14" t="s">
        <v>222</v>
      </c>
      <c r="B27" s="16" t="s">
        <v>215</v>
      </c>
      <c r="C27" s="15" t="s">
        <v>202</v>
      </c>
      <c r="D27" s="15" t="s">
        <v>223</v>
      </c>
      <c r="E27" s="17" t="s">
        <v>224</v>
      </c>
      <c r="F27" s="14" t="s">
        <v>199</v>
      </c>
      <c r="G27" s="17" t="s">
        <v>42</v>
      </c>
      <c r="H27" s="17" t="s">
        <v>206</v>
      </c>
      <c r="I27" s="16" t="s">
        <v>109</v>
      </c>
      <c r="J27" s="17" t="s">
        <v>225</v>
      </c>
    </row>
    <row r="28" customFormat="false" ht="15" hidden="false" customHeight="false" outlineLevel="0" collapsed="false">
      <c r="A28" s="18" t="s">
        <v>226</v>
      </c>
      <c r="B28" s="20" t="s">
        <v>215</v>
      </c>
      <c r="C28" s="19" t="s">
        <v>227</v>
      </c>
      <c r="D28" s="19" t="s">
        <v>228</v>
      </c>
      <c r="E28" s="21" t="s">
        <v>229</v>
      </c>
      <c r="F28" s="18" t="s">
        <v>120</v>
      </c>
      <c r="G28" s="21" t="s">
        <v>151</v>
      </c>
      <c r="H28" s="21" t="s">
        <v>42</v>
      </c>
      <c r="I28" s="20" t="s">
        <v>109</v>
      </c>
      <c r="J28" s="21" t="s">
        <v>230</v>
      </c>
    </row>
    <row r="29" customFormat="false" ht="29.85" hidden="false" customHeight="false" outlineLevel="0" collapsed="false">
      <c r="A29" s="14" t="s">
        <v>231</v>
      </c>
      <c r="B29" s="16" t="s">
        <v>215</v>
      </c>
      <c r="C29" s="15" t="s">
        <v>232</v>
      </c>
      <c r="D29" s="15" t="s">
        <v>233</v>
      </c>
      <c r="E29" s="17" t="s">
        <v>234</v>
      </c>
      <c r="F29" s="14" t="s">
        <v>199</v>
      </c>
      <c r="G29" s="17" t="s">
        <v>235</v>
      </c>
      <c r="H29" s="17" t="s">
        <v>42</v>
      </c>
      <c r="I29" s="16" t="s">
        <v>109</v>
      </c>
      <c r="J29" s="17" t="s">
        <v>236</v>
      </c>
    </row>
    <row r="30" customFormat="false" ht="15" hidden="false" customHeight="false" outlineLevel="0" collapsed="false">
      <c r="A30" s="18" t="s">
        <v>237</v>
      </c>
      <c r="B30" s="20" t="s">
        <v>215</v>
      </c>
      <c r="C30" s="19" t="s">
        <v>238</v>
      </c>
      <c r="D30" s="19" t="s">
        <v>239</v>
      </c>
      <c r="E30" s="21" t="s">
        <v>240</v>
      </c>
      <c r="F30" s="18" t="s">
        <v>199</v>
      </c>
      <c r="G30" s="21" t="s">
        <v>108</v>
      </c>
      <c r="H30" s="21" t="s">
        <v>42</v>
      </c>
      <c r="I30" s="20" t="s">
        <v>109</v>
      </c>
      <c r="J30" s="21" t="s">
        <v>241</v>
      </c>
    </row>
    <row r="32" customFormat="false" ht="17.15" hidden="false" customHeight="false" outlineLevel="0" collapsed="false">
      <c r="D32" s="22" t="s">
        <v>242</v>
      </c>
      <c r="E32" s="0" t="str">
        <f aca="false">COUNTIF(I5:I30,"완료")&amp;" / "&amp;COUNTA(A5:A30)</f>
        <v>26 / 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6" min="5" style="0" width="11"/>
    <col collapsed="false" customWidth="true" hidden="false" outlineLevel="0" max="8" min="7" style="0" width="8"/>
    <col collapsed="false" customWidth="true" hidden="false" outlineLevel="0" max="9" min="9" style="0" width="7"/>
    <col collapsed="false" customWidth="true" hidden="false" outlineLevel="0" max="10" min="10" style="0" width="30"/>
  </cols>
  <sheetData>
    <row r="1" customFormat="false" ht="23.1" hidden="false" customHeight="false" outlineLevel="0" collapsed="false">
      <c r="A1" s="11" t="s">
        <v>243</v>
      </c>
    </row>
    <row r="2" customFormat="false" ht="15" hidden="false" customHeight="false" outlineLevel="0" collapsed="false">
      <c r="A2" s="12" t="s">
        <v>244</v>
      </c>
    </row>
    <row r="4" customFormat="false" ht="15" hidden="false" customHeight="false" outlineLevel="0" collapsed="false">
      <c r="A4" s="24" t="s">
        <v>59</v>
      </c>
      <c r="B4" s="13" t="s">
        <v>245</v>
      </c>
      <c r="C4" s="13" t="s">
        <v>246</v>
      </c>
      <c r="D4" s="13" t="s">
        <v>247</v>
      </c>
      <c r="E4" s="13" t="s">
        <v>248</v>
      </c>
      <c r="F4" s="13" t="s">
        <v>249</v>
      </c>
      <c r="G4" s="13" t="s">
        <v>250</v>
      </c>
      <c r="H4" s="13" t="s">
        <v>251</v>
      </c>
      <c r="I4" s="13" t="s">
        <v>100</v>
      </c>
      <c r="J4" s="13" t="s">
        <v>252</v>
      </c>
    </row>
    <row r="5" customFormat="false" ht="25.35" hidden="false" customHeight="false" outlineLevel="0" collapsed="false">
      <c r="A5" s="25" t="s">
        <v>253</v>
      </c>
      <c r="B5" s="26" t="s">
        <v>254</v>
      </c>
      <c r="C5" s="26"/>
      <c r="D5" s="26"/>
      <c r="E5" s="27" t="n">
        <v>46303</v>
      </c>
      <c r="F5" s="27" t="n">
        <v>46309</v>
      </c>
      <c r="G5" s="25" t="n">
        <f aca="false">F5-E5+1</f>
        <v>7</v>
      </c>
      <c r="H5" s="28" t="n">
        <v>1</v>
      </c>
      <c r="I5" s="29" t="s">
        <v>109</v>
      </c>
      <c r="J5" s="26"/>
    </row>
    <row r="6" customFormat="false" ht="29.85" hidden="false" customHeight="false" outlineLevel="0" collapsed="false">
      <c r="A6" s="18" t="s">
        <v>255</v>
      </c>
      <c r="B6" s="21"/>
      <c r="C6" s="19" t="s">
        <v>256</v>
      </c>
      <c r="D6" s="19" t="s">
        <v>257</v>
      </c>
      <c r="E6" s="30" t="n">
        <v>46303</v>
      </c>
      <c r="F6" s="30" t="n">
        <v>46303</v>
      </c>
      <c r="G6" s="18" t="n">
        <f aca="false">F6-E6+1</f>
        <v>1</v>
      </c>
      <c r="H6" s="31" t="n">
        <v>1</v>
      </c>
      <c r="I6" s="20" t="s">
        <v>109</v>
      </c>
      <c r="J6" s="19" t="s">
        <v>258</v>
      </c>
    </row>
    <row r="7" customFormat="false" ht="15" hidden="false" customHeight="false" outlineLevel="0" collapsed="false">
      <c r="A7" s="14" t="s">
        <v>259</v>
      </c>
      <c r="B7" s="17"/>
      <c r="C7" s="17" t="s">
        <v>260</v>
      </c>
      <c r="D7" s="15" t="s">
        <v>261</v>
      </c>
      <c r="E7" s="32" t="n">
        <v>46309</v>
      </c>
      <c r="F7" s="32" t="n">
        <v>46309</v>
      </c>
      <c r="G7" s="14" t="n">
        <f aca="false">F7-E7+1</f>
        <v>1</v>
      </c>
      <c r="H7" s="33" t="n">
        <v>1</v>
      </c>
      <c r="I7" s="16" t="s">
        <v>109</v>
      </c>
      <c r="J7" s="17" t="s">
        <v>122</v>
      </c>
    </row>
    <row r="8" customFormat="false" ht="25.35" hidden="false" customHeight="false" outlineLevel="0" collapsed="false">
      <c r="A8" s="25" t="s">
        <v>262</v>
      </c>
      <c r="B8" s="34" t="s">
        <v>263</v>
      </c>
      <c r="C8" s="34"/>
      <c r="D8" s="34"/>
      <c r="E8" s="27" t="n">
        <v>46303</v>
      </c>
      <c r="F8" s="27" t="n">
        <v>46308</v>
      </c>
      <c r="G8" s="25" t="n">
        <f aca="false">F8-E8+1</f>
        <v>6</v>
      </c>
      <c r="H8" s="28" t="n">
        <v>1</v>
      </c>
      <c r="I8" s="29" t="s">
        <v>109</v>
      </c>
      <c r="J8" s="34"/>
    </row>
    <row r="9" customFormat="false" ht="15" hidden="false" customHeight="false" outlineLevel="0" collapsed="false">
      <c r="A9" s="14" t="s">
        <v>264</v>
      </c>
      <c r="B9" s="17"/>
      <c r="C9" s="17" t="s">
        <v>265</v>
      </c>
      <c r="D9" s="17" t="s">
        <v>266</v>
      </c>
      <c r="E9" s="32" t="n">
        <v>46303</v>
      </c>
      <c r="F9" s="32" t="n">
        <v>46308</v>
      </c>
      <c r="G9" s="14" t="n">
        <f aca="false">F9-E9+1</f>
        <v>6</v>
      </c>
      <c r="H9" s="33" t="n">
        <v>1</v>
      </c>
      <c r="I9" s="16" t="s">
        <v>109</v>
      </c>
      <c r="J9" s="15" t="s">
        <v>267</v>
      </c>
    </row>
    <row r="10" customFormat="false" ht="15" hidden="false" customHeight="false" outlineLevel="0" collapsed="false">
      <c r="A10" s="18" t="s">
        <v>268</v>
      </c>
      <c r="B10" s="21"/>
      <c r="C10" s="21" t="s">
        <v>269</v>
      </c>
      <c r="D10" s="21" t="s">
        <v>270</v>
      </c>
      <c r="E10" s="30" t="n">
        <v>46303</v>
      </c>
      <c r="F10" s="30" t="n">
        <v>46308</v>
      </c>
      <c r="G10" s="18" t="n">
        <f aca="false">F10-E10+1</f>
        <v>6</v>
      </c>
      <c r="H10" s="31" t="n">
        <v>1</v>
      </c>
      <c r="I10" s="20" t="s">
        <v>109</v>
      </c>
      <c r="J10" s="21" t="s">
        <v>110</v>
      </c>
    </row>
    <row r="11" customFormat="false" ht="25.35" hidden="false" customHeight="false" outlineLevel="0" collapsed="false">
      <c r="A11" s="25" t="s">
        <v>271</v>
      </c>
      <c r="B11" s="26" t="s">
        <v>136</v>
      </c>
      <c r="C11" s="34"/>
      <c r="D11" s="34"/>
      <c r="E11" s="27" t="n">
        <v>46304</v>
      </c>
      <c r="F11" s="27" t="n">
        <v>46311</v>
      </c>
      <c r="G11" s="25" t="n">
        <f aca="false">F11-E11+1</f>
        <v>8</v>
      </c>
      <c r="H11" s="28" t="n">
        <v>1</v>
      </c>
      <c r="I11" s="29" t="s">
        <v>109</v>
      </c>
      <c r="J11" s="34"/>
    </row>
    <row r="12" customFormat="false" ht="15" hidden="false" customHeight="false" outlineLevel="0" collapsed="false">
      <c r="A12" s="18" t="s">
        <v>272</v>
      </c>
      <c r="B12" s="21"/>
      <c r="C12" s="21" t="s">
        <v>273</v>
      </c>
      <c r="D12" s="21" t="s">
        <v>274</v>
      </c>
      <c r="E12" s="30" t="n">
        <v>46304</v>
      </c>
      <c r="F12" s="30" t="n">
        <v>46304</v>
      </c>
      <c r="G12" s="18" t="n">
        <f aca="false">F12-E12+1</f>
        <v>1</v>
      </c>
      <c r="H12" s="31" t="n">
        <v>1</v>
      </c>
      <c r="I12" s="20" t="s">
        <v>109</v>
      </c>
      <c r="J12" s="21" t="s">
        <v>275</v>
      </c>
    </row>
    <row r="13" customFormat="false" ht="15" hidden="false" customHeight="false" outlineLevel="0" collapsed="false">
      <c r="A13" s="14" t="s">
        <v>276</v>
      </c>
      <c r="B13" s="17"/>
      <c r="C13" s="17" t="s">
        <v>277</v>
      </c>
      <c r="D13" s="17" t="s">
        <v>278</v>
      </c>
      <c r="E13" s="32" t="n">
        <v>46309</v>
      </c>
      <c r="F13" s="32" t="n">
        <v>46309</v>
      </c>
      <c r="G13" s="14" t="n">
        <f aca="false">F13-E13+1</f>
        <v>1</v>
      </c>
      <c r="H13" s="33" t="n">
        <v>1</v>
      </c>
      <c r="I13" s="16" t="s">
        <v>109</v>
      </c>
      <c r="J13" s="17" t="s">
        <v>146</v>
      </c>
    </row>
    <row r="14" customFormat="false" ht="15" hidden="false" customHeight="false" outlineLevel="0" collapsed="false">
      <c r="A14" s="18" t="s">
        <v>279</v>
      </c>
      <c r="B14" s="21"/>
      <c r="C14" s="19" t="s">
        <v>280</v>
      </c>
      <c r="D14" s="19" t="s">
        <v>281</v>
      </c>
      <c r="E14" s="30" t="n">
        <v>46310</v>
      </c>
      <c r="F14" s="30" t="n">
        <v>46310</v>
      </c>
      <c r="G14" s="18" t="n">
        <f aca="false">F14-E14+1</f>
        <v>1</v>
      </c>
      <c r="H14" s="31" t="n">
        <v>1</v>
      </c>
      <c r="I14" s="20" t="s">
        <v>109</v>
      </c>
      <c r="J14" s="21" t="s">
        <v>176</v>
      </c>
    </row>
    <row r="15" customFormat="false" ht="15" hidden="false" customHeight="false" outlineLevel="0" collapsed="false">
      <c r="A15" s="25" t="s">
        <v>282</v>
      </c>
      <c r="B15" s="26" t="s">
        <v>283</v>
      </c>
      <c r="C15" s="34"/>
      <c r="D15" s="34"/>
      <c r="E15" s="27" t="n">
        <v>46309</v>
      </c>
      <c r="F15" s="27" t="n">
        <v>46310</v>
      </c>
      <c r="G15" s="25" t="n">
        <f aca="false">F15-E15+1</f>
        <v>2</v>
      </c>
      <c r="H15" s="28" t="n">
        <v>1</v>
      </c>
      <c r="I15" s="29" t="s">
        <v>109</v>
      </c>
      <c r="J15" s="34"/>
    </row>
    <row r="16" customFormat="false" ht="15" hidden="false" customHeight="false" outlineLevel="0" collapsed="false">
      <c r="A16" s="18" t="s">
        <v>284</v>
      </c>
      <c r="B16" s="21"/>
      <c r="C16" s="21" t="s">
        <v>285</v>
      </c>
      <c r="D16" s="21" t="s">
        <v>286</v>
      </c>
      <c r="E16" s="30" t="n">
        <v>46309</v>
      </c>
      <c r="F16" s="30" t="n">
        <v>46309</v>
      </c>
      <c r="G16" s="18" t="n">
        <f aca="false">F16-E16+1</f>
        <v>1</v>
      </c>
      <c r="H16" s="31" t="n">
        <v>1</v>
      </c>
      <c r="I16" s="20" t="s">
        <v>109</v>
      </c>
      <c r="J16" s="21" t="s">
        <v>122</v>
      </c>
    </row>
    <row r="17" customFormat="false" ht="15" hidden="false" customHeight="false" outlineLevel="0" collapsed="false">
      <c r="A17" s="14" t="s">
        <v>287</v>
      </c>
      <c r="B17" s="17"/>
      <c r="C17" s="15" t="s">
        <v>288</v>
      </c>
      <c r="D17" s="17" t="s">
        <v>289</v>
      </c>
      <c r="E17" s="32" t="n">
        <v>46310</v>
      </c>
      <c r="F17" s="32" t="n">
        <v>46310</v>
      </c>
      <c r="G17" s="14" t="n">
        <f aca="false">F17-E17+1</f>
        <v>1</v>
      </c>
      <c r="H17" s="33" t="n">
        <v>1</v>
      </c>
      <c r="I17" s="16" t="s">
        <v>109</v>
      </c>
      <c r="J17" s="17" t="s">
        <v>129</v>
      </c>
    </row>
    <row r="18" customFormat="false" ht="15" hidden="false" customHeight="false" outlineLevel="0" collapsed="false">
      <c r="A18" s="25" t="s">
        <v>290</v>
      </c>
      <c r="B18" s="34" t="s">
        <v>291</v>
      </c>
      <c r="C18" s="34"/>
      <c r="D18" s="34"/>
      <c r="E18" s="27" t="n">
        <v>46310</v>
      </c>
      <c r="F18" s="27" t="n">
        <v>46310</v>
      </c>
      <c r="G18" s="25" t="n">
        <f aca="false">F18-E18+1</f>
        <v>1</v>
      </c>
      <c r="H18" s="28" t="n">
        <v>1</v>
      </c>
      <c r="I18" s="29" t="s">
        <v>109</v>
      </c>
      <c r="J18" s="34"/>
    </row>
    <row r="19" customFormat="false" ht="15" hidden="false" customHeight="false" outlineLevel="0" collapsed="false">
      <c r="A19" s="14" t="s">
        <v>292</v>
      </c>
      <c r="B19" s="17"/>
      <c r="C19" s="17" t="s">
        <v>293</v>
      </c>
      <c r="D19" s="17" t="s">
        <v>294</v>
      </c>
      <c r="E19" s="32" t="n">
        <v>46310</v>
      </c>
      <c r="F19" s="32" t="n">
        <v>46310</v>
      </c>
      <c r="G19" s="14" t="n">
        <f aca="false">F19-E19+1</f>
        <v>1</v>
      </c>
      <c r="H19" s="33" t="n">
        <v>1</v>
      </c>
      <c r="I19" s="16" t="s">
        <v>109</v>
      </c>
      <c r="J19" s="17" t="s">
        <v>153</v>
      </c>
    </row>
    <row r="20" customFormat="false" ht="15" hidden="false" customHeight="false" outlineLevel="0" collapsed="false">
      <c r="A20" s="18" t="s">
        <v>295</v>
      </c>
      <c r="B20" s="21"/>
      <c r="C20" s="19" t="s">
        <v>296</v>
      </c>
      <c r="D20" s="21" t="s">
        <v>297</v>
      </c>
      <c r="E20" s="30" t="n">
        <v>46310</v>
      </c>
      <c r="F20" s="30" t="n">
        <v>46310</v>
      </c>
      <c r="G20" s="18" t="n">
        <f aca="false">F20-E20+1</f>
        <v>1</v>
      </c>
      <c r="H20" s="31" t="n">
        <v>1</v>
      </c>
      <c r="I20" s="20" t="s">
        <v>109</v>
      </c>
      <c r="J20" s="21" t="s">
        <v>153</v>
      </c>
    </row>
    <row r="21" customFormat="false" ht="15" hidden="false" customHeight="false" outlineLevel="0" collapsed="false">
      <c r="A21" s="14" t="s">
        <v>298</v>
      </c>
      <c r="B21" s="17"/>
      <c r="C21" s="15" t="s">
        <v>165</v>
      </c>
      <c r="D21" s="15" t="s">
        <v>299</v>
      </c>
      <c r="E21" s="32" t="n">
        <v>46310</v>
      </c>
      <c r="F21" s="32" t="n">
        <v>46310</v>
      </c>
      <c r="G21" s="14" t="n">
        <f aca="false">F21-E21+1</f>
        <v>1</v>
      </c>
      <c r="H21" s="33" t="n">
        <v>1</v>
      </c>
      <c r="I21" s="16" t="s">
        <v>109</v>
      </c>
      <c r="J21" s="17" t="s">
        <v>300</v>
      </c>
    </row>
    <row r="22" customFormat="false" ht="15" hidden="false" customHeight="false" outlineLevel="0" collapsed="false">
      <c r="A22" s="18" t="s">
        <v>301</v>
      </c>
      <c r="B22" s="21"/>
      <c r="C22" s="19" t="s">
        <v>302</v>
      </c>
      <c r="D22" s="19" t="s">
        <v>303</v>
      </c>
      <c r="E22" s="30" t="n">
        <v>46310</v>
      </c>
      <c r="F22" s="30" t="n">
        <v>46310</v>
      </c>
      <c r="G22" s="18" t="n">
        <f aca="false">F22-E22+1</f>
        <v>1</v>
      </c>
      <c r="H22" s="31" t="n">
        <v>1</v>
      </c>
      <c r="I22" s="20" t="s">
        <v>109</v>
      </c>
      <c r="J22" s="21" t="s">
        <v>304</v>
      </c>
    </row>
    <row r="23" customFormat="false" ht="15" hidden="false" customHeight="false" outlineLevel="0" collapsed="false">
      <c r="A23" s="25" t="s">
        <v>305</v>
      </c>
      <c r="B23" s="26" t="s">
        <v>306</v>
      </c>
      <c r="C23" s="34"/>
      <c r="D23" s="34"/>
      <c r="E23" s="27" t="n">
        <v>46310</v>
      </c>
      <c r="F23" s="27" t="n">
        <v>46311</v>
      </c>
      <c r="G23" s="25" t="n">
        <f aca="false">F23-E23+1</f>
        <v>2</v>
      </c>
      <c r="H23" s="28" t="n">
        <v>1</v>
      </c>
      <c r="I23" s="29" t="s">
        <v>109</v>
      </c>
      <c r="J23" s="34"/>
    </row>
    <row r="24" customFormat="false" ht="15" hidden="false" customHeight="false" outlineLevel="0" collapsed="false">
      <c r="A24" s="18" t="s">
        <v>307</v>
      </c>
      <c r="B24" s="21"/>
      <c r="C24" s="19" t="s">
        <v>308</v>
      </c>
      <c r="D24" s="19" t="s">
        <v>309</v>
      </c>
      <c r="E24" s="30" t="n">
        <v>46310</v>
      </c>
      <c r="F24" s="30" t="n">
        <v>46310</v>
      </c>
      <c r="G24" s="18" t="n">
        <f aca="false">F24-E24+1</f>
        <v>1</v>
      </c>
      <c r="H24" s="31" t="n">
        <v>1</v>
      </c>
      <c r="I24" s="20" t="s">
        <v>109</v>
      </c>
      <c r="J24" s="21" t="s">
        <v>176</v>
      </c>
    </row>
    <row r="25" customFormat="false" ht="15" hidden="false" customHeight="false" outlineLevel="0" collapsed="false">
      <c r="A25" s="14" t="s">
        <v>310</v>
      </c>
      <c r="B25" s="17"/>
      <c r="C25" s="17" t="s">
        <v>179</v>
      </c>
      <c r="D25" s="17" t="s">
        <v>311</v>
      </c>
      <c r="E25" s="32" t="n">
        <v>46310</v>
      </c>
      <c r="F25" s="32" t="n">
        <v>46310</v>
      </c>
      <c r="G25" s="14" t="n">
        <f aca="false">F25-E25+1</f>
        <v>1</v>
      </c>
      <c r="H25" s="33" t="n">
        <v>1</v>
      </c>
      <c r="I25" s="16" t="s">
        <v>109</v>
      </c>
      <c r="J25" s="17" t="s">
        <v>176</v>
      </c>
    </row>
    <row r="26" customFormat="false" ht="25.35" hidden="false" customHeight="false" outlineLevel="0" collapsed="false">
      <c r="A26" s="18" t="s">
        <v>312</v>
      </c>
      <c r="B26" s="21"/>
      <c r="C26" s="19" t="s">
        <v>313</v>
      </c>
      <c r="D26" s="21" t="s">
        <v>314</v>
      </c>
      <c r="E26" s="30" t="n">
        <v>46310</v>
      </c>
      <c r="F26" s="30" t="n">
        <v>46311</v>
      </c>
      <c r="G26" s="18" t="n">
        <f aca="false">F26-E26+1</f>
        <v>2</v>
      </c>
      <c r="H26" s="31" t="n">
        <v>1</v>
      </c>
      <c r="I26" s="20" t="s">
        <v>109</v>
      </c>
      <c r="J26" s="21" t="s">
        <v>190</v>
      </c>
    </row>
    <row r="27" customFormat="false" ht="15" hidden="false" customHeight="false" outlineLevel="0" collapsed="false">
      <c r="A27" s="14" t="s">
        <v>315</v>
      </c>
      <c r="B27" s="17"/>
      <c r="C27" s="15" t="s">
        <v>316</v>
      </c>
      <c r="D27" s="17" t="s">
        <v>317</v>
      </c>
      <c r="E27" s="32" t="n">
        <v>46310</v>
      </c>
      <c r="F27" s="32" t="n">
        <v>46311</v>
      </c>
      <c r="G27" s="14" t="n">
        <f aca="false">F27-E27+1</f>
        <v>2</v>
      </c>
      <c r="H27" s="33" t="n">
        <v>1</v>
      </c>
      <c r="I27" s="16" t="s">
        <v>109</v>
      </c>
      <c r="J27" s="17" t="s">
        <v>200</v>
      </c>
    </row>
    <row r="28" customFormat="false" ht="15" hidden="false" customHeight="false" outlineLevel="0" collapsed="false">
      <c r="A28" s="25" t="s">
        <v>318</v>
      </c>
      <c r="B28" s="26" t="s">
        <v>202</v>
      </c>
      <c r="C28" s="34"/>
      <c r="D28" s="34"/>
      <c r="E28" s="27" t="n">
        <v>46311</v>
      </c>
      <c r="F28" s="27" t="n">
        <v>46311</v>
      </c>
      <c r="G28" s="25" t="n">
        <f aca="false">F28-E28+1</f>
        <v>1</v>
      </c>
      <c r="H28" s="28" t="n">
        <v>1</v>
      </c>
      <c r="I28" s="29" t="s">
        <v>109</v>
      </c>
      <c r="J28" s="34"/>
    </row>
    <row r="29" customFormat="false" ht="15" hidden="false" customHeight="false" outlineLevel="0" collapsed="false">
      <c r="A29" s="14" t="s">
        <v>319</v>
      </c>
      <c r="B29" s="17"/>
      <c r="C29" s="15" t="s">
        <v>320</v>
      </c>
      <c r="D29" s="17" t="s">
        <v>321</v>
      </c>
      <c r="E29" s="32" t="n">
        <v>46311</v>
      </c>
      <c r="F29" s="32" t="n">
        <v>46311</v>
      </c>
      <c r="G29" s="14" t="n">
        <f aca="false">F29-E29+1</f>
        <v>1</v>
      </c>
      <c r="H29" s="33" t="n">
        <v>1</v>
      </c>
      <c r="I29" s="16" t="s">
        <v>109</v>
      </c>
      <c r="J29" s="17" t="s">
        <v>207</v>
      </c>
    </row>
    <row r="30" customFormat="false" ht="15" hidden="false" customHeight="false" outlineLevel="0" collapsed="false">
      <c r="A30" s="18" t="s">
        <v>322</v>
      </c>
      <c r="B30" s="21"/>
      <c r="C30" s="19" t="s">
        <v>323</v>
      </c>
      <c r="D30" s="21" t="s">
        <v>324</v>
      </c>
      <c r="E30" s="30" t="n">
        <v>46311</v>
      </c>
      <c r="F30" s="30" t="n">
        <v>46311</v>
      </c>
      <c r="G30" s="18" t="n">
        <f aca="false">F30-E30+1</f>
        <v>1</v>
      </c>
      <c r="H30" s="31" t="n">
        <v>1</v>
      </c>
      <c r="I30" s="20" t="s">
        <v>109</v>
      </c>
      <c r="J30" s="21" t="s">
        <v>325</v>
      </c>
    </row>
    <row r="31" customFormat="false" ht="15" hidden="false" customHeight="false" outlineLevel="0" collapsed="false">
      <c r="A31" s="25" t="s">
        <v>326</v>
      </c>
      <c r="B31" s="26" t="s">
        <v>327</v>
      </c>
      <c r="C31" s="34"/>
      <c r="D31" s="34"/>
      <c r="E31" s="27" t="n">
        <v>46309</v>
      </c>
      <c r="F31" s="27" t="n">
        <v>46311</v>
      </c>
      <c r="G31" s="25" t="n">
        <f aca="false">F31-E31+1</f>
        <v>3</v>
      </c>
      <c r="H31" s="28" t="n">
        <v>1</v>
      </c>
      <c r="I31" s="29" t="s">
        <v>109</v>
      </c>
      <c r="J31" s="34"/>
    </row>
    <row r="32" customFormat="false" ht="15" hidden="false" customHeight="false" outlineLevel="0" collapsed="false">
      <c r="A32" s="18" t="s">
        <v>328</v>
      </c>
      <c r="B32" s="21"/>
      <c r="C32" s="19" t="s">
        <v>329</v>
      </c>
      <c r="D32" s="21" t="s">
        <v>330</v>
      </c>
      <c r="E32" s="30" t="n">
        <v>46310</v>
      </c>
      <c r="F32" s="30" t="n">
        <v>46311</v>
      </c>
      <c r="G32" s="18" t="n">
        <f aca="false">F32-E32+1</f>
        <v>2</v>
      </c>
      <c r="H32" s="31" t="n">
        <v>1</v>
      </c>
      <c r="I32" s="20" t="s">
        <v>109</v>
      </c>
      <c r="J32" s="21" t="s">
        <v>331</v>
      </c>
    </row>
    <row r="33" customFormat="false" ht="15" hidden="false" customHeight="false" outlineLevel="0" collapsed="false">
      <c r="A33" s="14" t="s">
        <v>332</v>
      </c>
      <c r="B33" s="17"/>
      <c r="C33" s="15" t="s">
        <v>333</v>
      </c>
      <c r="D33" s="15" t="s">
        <v>334</v>
      </c>
      <c r="E33" s="32" t="n">
        <v>46310</v>
      </c>
      <c r="F33" s="32" t="n">
        <v>46311</v>
      </c>
      <c r="G33" s="14" t="n">
        <f aca="false">F33-E33+1</f>
        <v>2</v>
      </c>
      <c r="H33" s="33" t="n">
        <v>1</v>
      </c>
      <c r="I33" s="16" t="s">
        <v>109</v>
      </c>
      <c r="J33" s="17" t="s">
        <v>331</v>
      </c>
    </row>
    <row r="34" customFormat="false" ht="15" hidden="false" customHeight="false" outlineLevel="0" collapsed="false">
      <c r="A34" s="18" t="s">
        <v>335</v>
      </c>
      <c r="B34" s="21"/>
      <c r="C34" s="19" t="s">
        <v>336</v>
      </c>
      <c r="D34" s="19" t="s">
        <v>337</v>
      </c>
      <c r="E34" s="30" t="n">
        <v>46309</v>
      </c>
      <c r="F34" s="30" t="n">
        <v>46311</v>
      </c>
      <c r="G34" s="18" t="n">
        <f aca="false">F34-E34+1</f>
        <v>3</v>
      </c>
      <c r="H34" s="31" t="n">
        <v>1</v>
      </c>
      <c r="I34" s="20" t="s">
        <v>109</v>
      </c>
      <c r="J34" s="21" t="s">
        <v>331</v>
      </c>
    </row>
    <row r="35" customFormat="false" ht="25.35" hidden="false" customHeight="false" outlineLevel="0" collapsed="false">
      <c r="A35" s="25" t="s">
        <v>338</v>
      </c>
      <c r="B35" s="26" t="s">
        <v>339</v>
      </c>
      <c r="C35" s="34"/>
      <c r="D35" s="34"/>
      <c r="E35" s="27" t="n">
        <v>46304</v>
      </c>
      <c r="F35" s="27" t="n">
        <v>46311</v>
      </c>
      <c r="G35" s="25" t="n">
        <f aca="false">F35-E35+1</f>
        <v>8</v>
      </c>
      <c r="H35" s="28" t="n">
        <v>1</v>
      </c>
      <c r="I35" s="29" t="s">
        <v>109</v>
      </c>
      <c r="J35" s="34"/>
    </row>
    <row r="36" customFormat="false" ht="29.85" hidden="false" customHeight="false" outlineLevel="0" collapsed="false">
      <c r="A36" s="18" t="s">
        <v>340</v>
      </c>
      <c r="B36" s="21"/>
      <c r="C36" s="19" t="s">
        <v>341</v>
      </c>
      <c r="D36" s="21" t="s">
        <v>342</v>
      </c>
      <c r="E36" s="30" t="n">
        <v>46304</v>
      </c>
      <c r="F36" s="30" t="n">
        <v>46311</v>
      </c>
      <c r="G36" s="18" t="n">
        <f aca="false">F36-E36+1</f>
        <v>8</v>
      </c>
      <c r="H36" s="31" t="n">
        <v>1</v>
      </c>
      <c r="I36" s="20" t="s">
        <v>109</v>
      </c>
      <c r="J36" s="21"/>
    </row>
    <row r="37" customFormat="false" ht="15" hidden="false" customHeight="false" outlineLevel="0" collapsed="false">
      <c r="A37" s="14" t="s">
        <v>343</v>
      </c>
      <c r="B37" s="17"/>
      <c r="C37" s="15" t="s">
        <v>344</v>
      </c>
      <c r="D37" s="15" t="s">
        <v>345</v>
      </c>
      <c r="E37" s="32" t="n">
        <v>46310</v>
      </c>
      <c r="F37" s="32" t="n">
        <v>46311</v>
      </c>
      <c r="G37" s="14" t="n">
        <f aca="false">F37-E37+1</f>
        <v>2</v>
      </c>
      <c r="H37" s="33" t="n">
        <v>1</v>
      </c>
      <c r="I37" s="16" t="s">
        <v>109</v>
      </c>
      <c r="J37" s="17"/>
    </row>
    <row r="38" customFormat="false" ht="15" hidden="false" customHeight="false" outlineLevel="0" collapsed="false">
      <c r="A38" s="18" t="s">
        <v>346</v>
      </c>
      <c r="B38" s="21"/>
      <c r="C38" s="19" t="s">
        <v>347</v>
      </c>
      <c r="D38" s="21" t="s">
        <v>348</v>
      </c>
      <c r="E38" s="30" t="n">
        <v>46311</v>
      </c>
      <c r="F38" s="30" t="n">
        <v>46311</v>
      </c>
      <c r="G38" s="18" t="n">
        <f aca="false">F38-E38+1</f>
        <v>1</v>
      </c>
      <c r="H38" s="31" t="n">
        <v>1</v>
      </c>
      <c r="I38" s="20" t="s">
        <v>109</v>
      </c>
      <c r="J38" s="21"/>
    </row>
    <row r="40" customFormat="false" ht="17.15" hidden="false" customHeight="false" outlineLevel="0" collapsed="false">
      <c r="C40" s="22" t="s">
        <v>349</v>
      </c>
      <c r="D40" s="23" t="n">
        <f aca="false">MAX(F5:F38)-MIN(E5:E38)+1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36"/>
    <col collapsed="false" customWidth="true" hidden="false" outlineLevel="0" max="5" min="5" style="0" width="60"/>
  </cols>
  <sheetData>
    <row r="1" customFormat="false" ht="23.1" hidden="false" customHeight="false" outlineLevel="0" collapsed="false">
      <c r="A1" s="11" t="s">
        <v>350</v>
      </c>
    </row>
    <row r="2" customFormat="false" ht="15" hidden="false" customHeight="false" outlineLevel="0" collapsed="false">
      <c r="A2" s="12" t="s">
        <v>351</v>
      </c>
    </row>
    <row r="4" customFormat="false" ht="15" hidden="false" customHeight="false" outlineLevel="0" collapsed="false">
      <c r="A4" s="13" t="s">
        <v>352</v>
      </c>
      <c r="B4" s="13" t="s">
        <v>353</v>
      </c>
      <c r="C4" s="13" t="s">
        <v>354</v>
      </c>
      <c r="D4" s="13" t="s">
        <v>355</v>
      </c>
      <c r="E4" s="13" t="s">
        <v>356</v>
      </c>
    </row>
    <row r="5" customFormat="false" ht="199.5" hidden="false" customHeight="true" outlineLevel="0" collapsed="false">
      <c r="A5" s="14" t="s">
        <v>357</v>
      </c>
      <c r="B5" s="14" t="s">
        <v>358</v>
      </c>
      <c r="C5" s="17" t="s">
        <v>359</v>
      </c>
      <c r="D5" s="17" t="s">
        <v>360</v>
      </c>
      <c r="E5" s="17" t="s">
        <v>361</v>
      </c>
    </row>
    <row r="6" customFormat="false" ht="199.5" hidden="false" customHeight="true" outlineLevel="0" collapsed="false">
      <c r="A6" s="18" t="s">
        <v>362</v>
      </c>
      <c r="B6" s="18" t="s">
        <v>363</v>
      </c>
      <c r="C6" s="21" t="s">
        <v>364</v>
      </c>
      <c r="D6" s="21" t="s">
        <v>365</v>
      </c>
      <c r="E6" s="21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6" min="5" style="0" width="9"/>
    <col collapsed="false" customWidth="true" hidden="false" outlineLevel="0" max="7" min="7" style="0" width="52"/>
  </cols>
  <sheetData>
    <row r="1" customFormat="false" ht="23.1" hidden="false" customHeight="false" outlineLevel="0" collapsed="false">
      <c r="A1" s="11" t="s">
        <v>367</v>
      </c>
    </row>
    <row r="2" customFormat="false" ht="15" hidden="false" customHeight="false" outlineLevel="0" collapsed="false">
      <c r="A2" s="12" t="s">
        <v>368</v>
      </c>
    </row>
    <row r="4" customFormat="false" ht="15" hidden="false" customHeight="false" outlineLevel="0" collapsed="false">
      <c r="A4" s="35" t="s">
        <v>369</v>
      </c>
      <c r="B4" s="35"/>
      <c r="C4" s="36" t="s">
        <v>370</v>
      </c>
      <c r="D4" s="36"/>
      <c r="E4" s="36"/>
      <c r="F4" s="36"/>
      <c r="G4" s="36"/>
    </row>
    <row r="5" customFormat="false" ht="25.35" hidden="false" customHeight="false" outlineLevel="0" collapsed="false">
      <c r="A5" s="24" t="s">
        <v>371</v>
      </c>
      <c r="B5" s="13" t="s">
        <v>372</v>
      </c>
      <c r="C5" s="13" t="s">
        <v>373</v>
      </c>
      <c r="D5" s="24" t="s">
        <v>374</v>
      </c>
      <c r="E5" s="24" t="s">
        <v>375</v>
      </c>
      <c r="F5" s="13" t="s">
        <v>376</v>
      </c>
      <c r="G5" s="13" t="s">
        <v>377</v>
      </c>
    </row>
    <row r="6" customFormat="false" ht="15" hidden="false" customHeight="false" outlineLevel="0" collapsed="false">
      <c r="A6" s="14" t="n">
        <v>1</v>
      </c>
      <c r="B6" s="17" t="s">
        <v>378</v>
      </c>
      <c r="C6" s="17" t="s">
        <v>379</v>
      </c>
      <c r="D6" s="14" t="s">
        <v>374</v>
      </c>
      <c r="E6" s="14" t="s">
        <v>380</v>
      </c>
      <c r="F6" s="14" t="s">
        <v>380</v>
      </c>
      <c r="G6" s="15" t="s">
        <v>381</v>
      </c>
    </row>
    <row r="7" customFormat="false" ht="15" hidden="false" customHeight="false" outlineLevel="0" collapsed="false">
      <c r="A7" s="18" t="n">
        <v>2</v>
      </c>
      <c r="B7" s="21" t="s">
        <v>382</v>
      </c>
      <c r="C7" s="21" t="s">
        <v>383</v>
      </c>
      <c r="D7" s="18"/>
      <c r="E7" s="18" t="s">
        <v>380</v>
      </c>
      <c r="F7" s="18"/>
      <c r="G7" s="19" t="s">
        <v>384</v>
      </c>
    </row>
    <row r="8" customFormat="false" ht="15" hidden="false" customHeight="false" outlineLevel="0" collapsed="false">
      <c r="A8" s="14" t="n">
        <v>3</v>
      </c>
      <c r="B8" s="17" t="s">
        <v>385</v>
      </c>
      <c r="C8" s="17" t="s">
        <v>386</v>
      </c>
      <c r="D8" s="14"/>
      <c r="E8" s="14" t="s">
        <v>380</v>
      </c>
      <c r="F8" s="14"/>
      <c r="G8" s="15" t="s">
        <v>387</v>
      </c>
    </row>
    <row r="10" customFormat="false" ht="15" hidden="false" customHeight="false" outlineLevel="0" collapsed="false">
      <c r="A10" s="35" t="s">
        <v>388</v>
      </c>
      <c r="B10" s="35"/>
      <c r="C10" s="36" t="s">
        <v>389</v>
      </c>
      <c r="D10" s="36"/>
      <c r="E10" s="36"/>
      <c r="F10" s="36"/>
      <c r="G10" s="36"/>
    </row>
    <row r="11" customFormat="false" ht="25.35" hidden="false" customHeight="false" outlineLevel="0" collapsed="false">
      <c r="A11" s="24" t="s">
        <v>371</v>
      </c>
      <c r="B11" s="13" t="s">
        <v>372</v>
      </c>
      <c r="C11" s="13" t="s">
        <v>373</v>
      </c>
      <c r="D11" s="24" t="s">
        <v>374</v>
      </c>
      <c r="E11" s="24" t="s">
        <v>375</v>
      </c>
      <c r="F11" s="13" t="s">
        <v>376</v>
      </c>
      <c r="G11" s="13" t="s">
        <v>377</v>
      </c>
    </row>
    <row r="12" customFormat="false" ht="15" hidden="false" customHeight="false" outlineLevel="0" collapsed="false">
      <c r="A12" s="14" t="n">
        <v>1</v>
      </c>
      <c r="B12" s="17" t="s">
        <v>390</v>
      </c>
      <c r="C12" s="17" t="s">
        <v>379</v>
      </c>
      <c r="D12" s="14" t="s">
        <v>374</v>
      </c>
      <c r="E12" s="14" t="s">
        <v>380</v>
      </c>
      <c r="F12" s="14" t="s">
        <v>380</v>
      </c>
      <c r="G12" s="15" t="s">
        <v>391</v>
      </c>
    </row>
    <row r="13" customFormat="false" ht="15" hidden="false" customHeight="false" outlineLevel="0" collapsed="false">
      <c r="A13" s="18" t="n">
        <v>2</v>
      </c>
      <c r="B13" s="21" t="s">
        <v>378</v>
      </c>
      <c r="C13" s="21" t="s">
        <v>379</v>
      </c>
      <c r="D13" s="18"/>
      <c r="E13" s="18" t="s">
        <v>380</v>
      </c>
      <c r="F13" s="18"/>
      <c r="G13" s="19" t="s">
        <v>381</v>
      </c>
    </row>
    <row r="14" customFormat="false" ht="15" hidden="false" customHeight="false" outlineLevel="0" collapsed="false">
      <c r="A14" s="14" t="n">
        <v>3</v>
      </c>
      <c r="B14" s="17" t="s">
        <v>392</v>
      </c>
      <c r="C14" s="17" t="s">
        <v>393</v>
      </c>
      <c r="D14" s="14"/>
      <c r="E14" s="14" t="s">
        <v>380</v>
      </c>
      <c r="F14" s="14"/>
      <c r="G14" s="15" t="s">
        <v>394</v>
      </c>
    </row>
    <row r="15" customFormat="false" ht="15" hidden="false" customHeight="false" outlineLevel="0" collapsed="false">
      <c r="A15" s="18" t="n">
        <v>4</v>
      </c>
      <c r="B15" s="21" t="s">
        <v>395</v>
      </c>
      <c r="C15" s="21" t="s">
        <v>393</v>
      </c>
      <c r="D15" s="18"/>
      <c r="E15" s="18" t="s">
        <v>380</v>
      </c>
      <c r="F15" s="18"/>
      <c r="G15" s="21" t="s">
        <v>396</v>
      </c>
    </row>
    <row r="16" customFormat="false" ht="15" hidden="false" customHeight="false" outlineLevel="0" collapsed="false">
      <c r="A16" s="14" t="n">
        <v>5</v>
      </c>
      <c r="B16" s="17" t="s">
        <v>397</v>
      </c>
      <c r="C16" s="17" t="s">
        <v>393</v>
      </c>
      <c r="D16" s="14"/>
      <c r="E16" s="14" t="s">
        <v>380</v>
      </c>
      <c r="F16" s="14"/>
      <c r="G16" s="17" t="s">
        <v>398</v>
      </c>
    </row>
    <row r="17" customFormat="false" ht="15" hidden="false" customHeight="false" outlineLevel="0" collapsed="false">
      <c r="A17" s="18" t="n">
        <v>6</v>
      </c>
      <c r="B17" s="21" t="s">
        <v>399</v>
      </c>
      <c r="C17" s="21" t="s">
        <v>393</v>
      </c>
      <c r="D17" s="18"/>
      <c r="E17" s="18" t="s">
        <v>380</v>
      </c>
      <c r="F17" s="18"/>
      <c r="G17" s="19" t="s">
        <v>400</v>
      </c>
    </row>
    <row r="18" customFormat="false" ht="15" hidden="false" customHeight="false" outlineLevel="0" collapsed="false">
      <c r="A18" s="14" t="n">
        <v>7</v>
      </c>
      <c r="B18" s="17" t="s">
        <v>401</v>
      </c>
      <c r="C18" s="17" t="s">
        <v>402</v>
      </c>
      <c r="D18" s="14"/>
      <c r="E18" s="14"/>
      <c r="F18" s="14"/>
      <c r="G18" s="15" t="s">
        <v>403</v>
      </c>
    </row>
    <row r="19" customFormat="false" ht="15" hidden="false" customHeight="false" outlineLevel="0" collapsed="false">
      <c r="A19" s="18" t="n">
        <v>8</v>
      </c>
      <c r="B19" s="21" t="s">
        <v>404</v>
      </c>
      <c r="C19" s="21" t="s">
        <v>402</v>
      </c>
      <c r="D19" s="18"/>
      <c r="E19" s="18"/>
      <c r="F19" s="18"/>
      <c r="G19" s="19" t="s">
        <v>405</v>
      </c>
    </row>
    <row r="20" customFormat="false" ht="15" hidden="false" customHeight="false" outlineLevel="0" collapsed="false">
      <c r="A20" s="14" t="n">
        <v>9</v>
      </c>
      <c r="B20" s="17" t="s">
        <v>406</v>
      </c>
      <c r="C20" s="17" t="s">
        <v>402</v>
      </c>
      <c r="D20" s="14"/>
      <c r="E20" s="14" t="s">
        <v>380</v>
      </c>
      <c r="F20" s="14"/>
      <c r="G20" s="15" t="s">
        <v>407</v>
      </c>
    </row>
    <row r="21" customFormat="false" ht="15" hidden="false" customHeight="false" outlineLevel="0" collapsed="false">
      <c r="A21" s="18" t="n">
        <v>10</v>
      </c>
      <c r="B21" s="21" t="s">
        <v>408</v>
      </c>
      <c r="C21" s="21" t="s">
        <v>409</v>
      </c>
      <c r="D21" s="18"/>
      <c r="E21" s="18"/>
      <c r="F21" s="18"/>
      <c r="G21" s="19" t="s">
        <v>410</v>
      </c>
    </row>
    <row r="22" customFormat="false" ht="15" hidden="false" customHeight="false" outlineLevel="0" collapsed="false">
      <c r="A22" s="14" t="n">
        <v>11</v>
      </c>
      <c r="B22" s="17" t="s">
        <v>411</v>
      </c>
      <c r="C22" s="17" t="s">
        <v>409</v>
      </c>
      <c r="D22" s="14"/>
      <c r="E22" s="14"/>
      <c r="F22" s="14"/>
      <c r="G22" s="15" t="s">
        <v>412</v>
      </c>
    </row>
    <row r="24" customFormat="false" ht="15" hidden="false" customHeight="false" outlineLevel="0" collapsed="false">
      <c r="A24" s="35" t="s">
        <v>413</v>
      </c>
      <c r="B24" s="35"/>
      <c r="C24" s="36" t="s">
        <v>414</v>
      </c>
      <c r="D24" s="36"/>
      <c r="E24" s="36"/>
      <c r="F24" s="36"/>
      <c r="G24" s="36"/>
    </row>
    <row r="25" customFormat="false" ht="25.35" hidden="false" customHeight="false" outlineLevel="0" collapsed="false">
      <c r="A25" s="24" t="s">
        <v>371</v>
      </c>
      <c r="B25" s="13" t="s">
        <v>372</v>
      </c>
      <c r="C25" s="13" t="s">
        <v>373</v>
      </c>
      <c r="D25" s="24" t="s">
        <v>374</v>
      </c>
      <c r="E25" s="24" t="s">
        <v>375</v>
      </c>
      <c r="F25" s="13" t="s">
        <v>376</v>
      </c>
      <c r="G25" s="13" t="s">
        <v>377</v>
      </c>
    </row>
    <row r="26" customFormat="false" ht="15" hidden="false" customHeight="false" outlineLevel="0" collapsed="false">
      <c r="A26" s="14" t="n">
        <v>1</v>
      </c>
      <c r="B26" s="17" t="s">
        <v>415</v>
      </c>
      <c r="C26" s="17" t="s">
        <v>379</v>
      </c>
      <c r="D26" s="14" t="s">
        <v>374</v>
      </c>
      <c r="E26" s="14" t="s">
        <v>380</v>
      </c>
      <c r="F26" s="14" t="s">
        <v>380</v>
      </c>
      <c r="G26" s="15" t="s">
        <v>416</v>
      </c>
    </row>
    <row r="27" customFormat="false" ht="15" hidden="false" customHeight="false" outlineLevel="0" collapsed="false">
      <c r="A27" s="18" t="n">
        <v>2</v>
      </c>
      <c r="B27" s="21" t="s">
        <v>390</v>
      </c>
      <c r="C27" s="21" t="s">
        <v>379</v>
      </c>
      <c r="D27" s="18"/>
      <c r="E27" s="18" t="s">
        <v>380</v>
      </c>
      <c r="F27" s="18"/>
      <c r="G27" s="19" t="s">
        <v>391</v>
      </c>
    </row>
    <row r="28" customFormat="false" ht="15" hidden="false" customHeight="false" outlineLevel="0" collapsed="false">
      <c r="A28" s="14" t="n">
        <v>3</v>
      </c>
      <c r="B28" s="17" t="s">
        <v>417</v>
      </c>
      <c r="C28" s="17" t="s">
        <v>402</v>
      </c>
      <c r="D28" s="14"/>
      <c r="E28" s="14"/>
      <c r="F28" s="14"/>
      <c r="G28" s="15" t="s">
        <v>418</v>
      </c>
    </row>
    <row r="29" customFormat="false" ht="15" hidden="false" customHeight="false" outlineLevel="0" collapsed="false">
      <c r="A29" s="18" t="n">
        <v>4</v>
      </c>
      <c r="B29" s="21" t="s">
        <v>419</v>
      </c>
      <c r="C29" s="21" t="s">
        <v>402</v>
      </c>
      <c r="D29" s="18"/>
      <c r="E29" s="18"/>
      <c r="F29" s="18"/>
      <c r="G29" s="19" t="s">
        <v>420</v>
      </c>
    </row>
    <row r="30" customFormat="false" ht="15" hidden="false" customHeight="false" outlineLevel="0" collapsed="false">
      <c r="A30" s="14" t="n">
        <v>5</v>
      </c>
      <c r="B30" s="17" t="s">
        <v>401</v>
      </c>
      <c r="C30" s="17" t="s">
        <v>402</v>
      </c>
      <c r="D30" s="14"/>
      <c r="E30" s="14"/>
      <c r="F30" s="14"/>
      <c r="G30" s="15" t="s">
        <v>403</v>
      </c>
    </row>
    <row r="31" customFormat="false" ht="15" hidden="false" customHeight="false" outlineLevel="0" collapsed="false">
      <c r="A31" s="18" t="n">
        <v>6</v>
      </c>
      <c r="B31" s="21" t="s">
        <v>404</v>
      </c>
      <c r="C31" s="21" t="s">
        <v>402</v>
      </c>
      <c r="D31" s="18"/>
      <c r="E31" s="18"/>
      <c r="F31" s="18"/>
      <c r="G31" s="19" t="s">
        <v>405</v>
      </c>
    </row>
    <row r="32" customFormat="false" ht="15" hidden="false" customHeight="false" outlineLevel="0" collapsed="false">
      <c r="A32" s="14" t="n">
        <v>7</v>
      </c>
      <c r="B32" s="17" t="s">
        <v>406</v>
      </c>
      <c r="C32" s="17" t="s">
        <v>402</v>
      </c>
      <c r="D32" s="14"/>
      <c r="E32" s="14"/>
      <c r="F32" s="14"/>
      <c r="G32" s="15" t="s">
        <v>407</v>
      </c>
    </row>
    <row r="33" customFormat="false" ht="15" hidden="false" customHeight="false" outlineLevel="0" collapsed="false">
      <c r="A33" s="18" t="n">
        <v>8</v>
      </c>
      <c r="B33" s="21" t="s">
        <v>421</v>
      </c>
      <c r="C33" s="21" t="s">
        <v>402</v>
      </c>
      <c r="D33" s="18"/>
      <c r="E33" s="18"/>
      <c r="F33" s="18"/>
      <c r="G33" s="19" t="s">
        <v>422</v>
      </c>
    </row>
    <row r="34" customFormat="false" ht="15" hidden="false" customHeight="false" outlineLevel="0" collapsed="false">
      <c r="A34" s="14" t="n">
        <v>9</v>
      </c>
      <c r="B34" s="17" t="s">
        <v>423</v>
      </c>
      <c r="C34" s="17" t="s">
        <v>402</v>
      </c>
      <c r="D34" s="14"/>
      <c r="E34" s="14"/>
      <c r="F34" s="14"/>
      <c r="G34" s="15" t="s">
        <v>424</v>
      </c>
    </row>
    <row r="35" customFormat="false" ht="15" hidden="false" customHeight="false" outlineLevel="0" collapsed="false">
      <c r="A35" s="18" t="n">
        <v>10</v>
      </c>
      <c r="B35" s="21" t="s">
        <v>425</v>
      </c>
      <c r="C35" s="21" t="s">
        <v>402</v>
      </c>
      <c r="D35" s="18"/>
      <c r="E35" s="18"/>
      <c r="F35" s="18"/>
      <c r="G35" s="19" t="s">
        <v>426</v>
      </c>
    </row>
    <row r="36" customFormat="false" ht="15" hidden="false" customHeight="false" outlineLevel="0" collapsed="false">
      <c r="A36" s="14" t="n">
        <v>11</v>
      </c>
      <c r="B36" s="17" t="s">
        <v>399</v>
      </c>
      <c r="C36" s="17" t="s">
        <v>393</v>
      </c>
      <c r="D36" s="14"/>
      <c r="E36" s="14"/>
      <c r="F36" s="14"/>
      <c r="G36" s="15" t="s">
        <v>400</v>
      </c>
    </row>
    <row r="37" customFormat="false" ht="15" hidden="false" customHeight="false" outlineLevel="0" collapsed="false">
      <c r="A37" s="18" t="n">
        <v>12</v>
      </c>
      <c r="B37" s="21" t="s">
        <v>427</v>
      </c>
      <c r="C37" s="21" t="s">
        <v>409</v>
      </c>
      <c r="D37" s="18"/>
      <c r="E37" s="18"/>
      <c r="F37" s="18"/>
      <c r="G37" s="19" t="s">
        <v>428</v>
      </c>
    </row>
    <row r="39" customFormat="false" ht="15" hidden="false" customHeight="false" outlineLevel="0" collapsed="false">
      <c r="A39" s="35" t="s">
        <v>429</v>
      </c>
      <c r="B39" s="35"/>
      <c r="C39" s="37" t="s">
        <v>430</v>
      </c>
      <c r="D39" s="37"/>
      <c r="E39" s="37"/>
      <c r="F39" s="37"/>
      <c r="G39" s="37"/>
    </row>
    <row r="40" customFormat="false" ht="25.35" hidden="false" customHeight="false" outlineLevel="0" collapsed="false">
      <c r="A40" s="24" t="s">
        <v>371</v>
      </c>
      <c r="B40" s="13" t="s">
        <v>372</v>
      </c>
      <c r="C40" s="13" t="s">
        <v>373</v>
      </c>
      <c r="D40" s="24" t="s">
        <v>374</v>
      </c>
      <c r="E40" s="24" t="s">
        <v>375</v>
      </c>
      <c r="F40" s="13" t="s">
        <v>376</v>
      </c>
      <c r="G40" s="13" t="s">
        <v>377</v>
      </c>
    </row>
    <row r="41" customFormat="false" ht="15" hidden="false" customHeight="false" outlineLevel="0" collapsed="false">
      <c r="A41" s="14" t="n">
        <v>1</v>
      </c>
      <c r="B41" s="17" t="s">
        <v>431</v>
      </c>
      <c r="C41" s="17" t="s">
        <v>379</v>
      </c>
      <c r="D41" s="14" t="s">
        <v>374</v>
      </c>
      <c r="E41" s="14" t="s">
        <v>380</v>
      </c>
      <c r="F41" s="14" t="s">
        <v>380</v>
      </c>
      <c r="G41" s="15" t="s">
        <v>432</v>
      </c>
    </row>
    <row r="42" customFormat="false" ht="15" hidden="false" customHeight="false" outlineLevel="0" collapsed="false">
      <c r="A42" s="18" t="n">
        <v>2</v>
      </c>
      <c r="B42" s="21" t="s">
        <v>390</v>
      </c>
      <c r="C42" s="21" t="s">
        <v>379</v>
      </c>
      <c r="D42" s="18"/>
      <c r="E42" s="18" t="s">
        <v>380</v>
      </c>
      <c r="F42" s="18"/>
      <c r="G42" s="19" t="s">
        <v>391</v>
      </c>
    </row>
    <row r="43" customFormat="false" ht="15" hidden="false" customHeight="false" outlineLevel="0" collapsed="false">
      <c r="A43" s="14" t="n">
        <v>3</v>
      </c>
      <c r="B43" s="17" t="s">
        <v>433</v>
      </c>
      <c r="C43" s="17" t="s">
        <v>434</v>
      </c>
      <c r="D43" s="14"/>
      <c r="E43" s="14" t="s">
        <v>380</v>
      </c>
      <c r="F43" s="14"/>
      <c r="G43" s="15" t="s">
        <v>435</v>
      </c>
    </row>
    <row r="44" customFormat="false" ht="15" hidden="false" customHeight="false" outlineLevel="0" collapsed="false">
      <c r="A44" s="18" t="n">
        <v>4</v>
      </c>
      <c r="B44" s="21" t="s">
        <v>436</v>
      </c>
      <c r="C44" s="21" t="s">
        <v>437</v>
      </c>
      <c r="D44" s="18"/>
      <c r="E44" s="18" t="s">
        <v>380</v>
      </c>
      <c r="F44" s="18"/>
      <c r="G44" s="21" t="s">
        <v>438</v>
      </c>
    </row>
    <row r="45" customFormat="false" ht="15" hidden="false" customHeight="false" outlineLevel="0" collapsed="false">
      <c r="A45" s="14" t="n">
        <v>5</v>
      </c>
      <c r="B45" s="17" t="s">
        <v>439</v>
      </c>
      <c r="C45" s="17" t="s">
        <v>402</v>
      </c>
      <c r="D45" s="14"/>
      <c r="E45" s="14"/>
      <c r="F45" s="14"/>
      <c r="G45" s="15" t="s">
        <v>440</v>
      </c>
    </row>
    <row r="46" customFormat="false" ht="15" hidden="false" customHeight="false" outlineLevel="0" collapsed="false">
      <c r="A46" s="18" t="n">
        <v>6</v>
      </c>
      <c r="B46" s="21" t="s">
        <v>441</v>
      </c>
      <c r="C46" s="21" t="s">
        <v>402</v>
      </c>
      <c r="D46" s="18"/>
      <c r="E46" s="18"/>
      <c r="F46" s="18"/>
      <c r="G46" s="19" t="s">
        <v>442</v>
      </c>
    </row>
    <row r="47" customFormat="false" ht="15" hidden="false" customHeight="false" outlineLevel="0" collapsed="false">
      <c r="A47" s="14" t="n">
        <v>7</v>
      </c>
      <c r="B47" s="17" t="s">
        <v>406</v>
      </c>
      <c r="C47" s="17" t="s">
        <v>402</v>
      </c>
      <c r="D47" s="14"/>
      <c r="E47" s="14"/>
      <c r="F47" s="14"/>
      <c r="G47" s="15" t="s">
        <v>407</v>
      </c>
    </row>
    <row r="48" customFormat="false" ht="15" hidden="false" customHeight="false" outlineLevel="0" collapsed="false">
      <c r="A48" s="18" t="n">
        <v>8</v>
      </c>
      <c r="B48" s="21" t="s">
        <v>443</v>
      </c>
      <c r="C48" s="21" t="s">
        <v>444</v>
      </c>
      <c r="D48" s="18"/>
      <c r="E48" s="18"/>
      <c r="F48" s="18"/>
      <c r="G48" s="19" t="s">
        <v>445</v>
      </c>
    </row>
    <row r="49" customFormat="false" ht="15" hidden="false" customHeight="false" outlineLevel="0" collapsed="false">
      <c r="A49" s="14" t="n">
        <v>9</v>
      </c>
      <c r="B49" s="17" t="s">
        <v>446</v>
      </c>
      <c r="C49" s="17" t="s">
        <v>383</v>
      </c>
      <c r="D49" s="14"/>
      <c r="E49" s="14"/>
      <c r="F49" s="14"/>
      <c r="G49" s="15" t="s">
        <v>447</v>
      </c>
    </row>
    <row r="50" customFormat="false" ht="15" hidden="false" customHeight="false" outlineLevel="0" collapsed="false">
      <c r="A50" s="18" t="n">
        <v>10</v>
      </c>
      <c r="B50" s="21" t="s">
        <v>448</v>
      </c>
      <c r="C50" s="21" t="s">
        <v>449</v>
      </c>
      <c r="D50" s="18"/>
      <c r="E50" s="18" t="s">
        <v>380</v>
      </c>
      <c r="F50" s="18"/>
      <c r="G50" s="19" t="s">
        <v>450</v>
      </c>
    </row>
    <row r="51" customFormat="false" ht="15" hidden="false" customHeight="false" outlineLevel="0" collapsed="false">
      <c r="A51" s="14" t="n">
        <v>11</v>
      </c>
      <c r="B51" s="17" t="s">
        <v>451</v>
      </c>
      <c r="C51" s="17" t="s">
        <v>409</v>
      </c>
      <c r="D51" s="14"/>
      <c r="E51" s="14"/>
      <c r="F51" s="14"/>
      <c r="G51" s="15" t="s">
        <v>452</v>
      </c>
    </row>
    <row r="53" customFormat="false" ht="15" hidden="false" customHeight="false" outlineLevel="0" collapsed="false">
      <c r="A53" s="35" t="s">
        <v>453</v>
      </c>
      <c r="B53" s="35"/>
      <c r="C53" s="36" t="s">
        <v>454</v>
      </c>
      <c r="D53" s="36"/>
      <c r="E53" s="36"/>
      <c r="F53" s="36"/>
      <c r="G53" s="36"/>
    </row>
    <row r="54" customFormat="false" ht="25.35" hidden="false" customHeight="false" outlineLevel="0" collapsed="false">
      <c r="A54" s="24" t="s">
        <v>371</v>
      </c>
      <c r="B54" s="13" t="s">
        <v>372</v>
      </c>
      <c r="C54" s="13" t="s">
        <v>373</v>
      </c>
      <c r="D54" s="24" t="s">
        <v>374</v>
      </c>
      <c r="E54" s="24" t="s">
        <v>375</v>
      </c>
      <c r="F54" s="13" t="s">
        <v>376</v>
      </c>
      <c r="G54" s="13" t="s">
        <v>377</v>
      </c>
    </row>
    <row r="55" customFormat="false" ht="15" hidden="false" customHeight="false" outlineLevel="0" collapsed="false">
      <c r="A55" s="14" t="n">
        <v>1</v>
      </c>
      <c r="B55" s="17" t="s">
        <v>455</v>
      </c>
      <c r="C55" s="17" t="s">
        <v>379</v>
      </c>
      <c r="D55" s="14" t="s">
        <v>374</v>
      </c>
      <c r="E55" s="14" t="s">
        <v>380</v>
      </c>
      <c r="F55" s="14" t="s">
        <v>380</v>
      </c>
      <c r="G55" s="15" t="s">
        <v>456</v>
      </c>
    </row>
    <row r="56" customFormat="false" ht="15" hidden="false" customHeight="false" outlineLevel="0" collapsed="false">
      <c r="A56" s="18" t="n">
        <v>2</v>
      </c>
      <c r="B56" s="21" t="s">
        <v>390</v>
      </c>
      <c r="C56" s="21" t="s">
        <v>379</v>
      </c>
      <c r="D56" s="18"/>
      <c r="E56" s="18" t="s">
        <v>380</v>
      </c>
      <c r="F56" s="18"/>
      <c r="G56" s="19" t="s">
        <v>391</v>
      </c>
    </row>
    <row r="57" customFormat="false" ht="15" hidden="false" customHeight="false" outlineLevel="0" collapsed="false">
      <c r="A57" s="14" t="n">
        <v>3</v>
      </c>
      <c r="B57" s="17" t="s">
        <v>431</v>
      </c>
      <c r="C57" s="17" t="s">
        <v>379</v>
      </c>
      <c r="D57" s="14"/>
      <c r="E57" s="14"/>
      <c r="F57" s="14"/>
      <c r="G57" s="15" t="s">
        <v>432</v>
      </c>
    </row>
    <row r="58" customFormat="false" ht="15" hidden="false" customHeight="false" outlineLevel="0" collapsed="false">
      <c r="A58" s="18" t="n">
        <v>4</v>
      </c>
      <c r="B58" s="21" t="s">
        <v>457</v>
      </c>
      <c r="C58" s="21" t="s">
        <v>379</v>
      </c>
      <c r="D58" s="18"/>
      <c r="E58" s="18"/>
      <c r="F58" s="18"/>
      <c r="G58" s="19" t="s">
        <v>458</v>
      </c>
    </row>
    <row r="59" customFormat="false" ht="15" hidden="false" customHeight="false" outlineLevel="0" collapsed="false">
      <c r="A59" s="14" t="n">
        <v>5</v>
      </c>
      <c r="B59" s="17" t="s">
        <v>459</v>
      </c>
      <c r="C59" s="17" t="s">
        <v>393</v>
      </c>
      <c r="D59" s="14"/>
      <c r="E59" s="14" t="s">
        <v>380</v>
      </c>
      <c r="F59" s="14"/>
      <c r="G59" s="15" t="s">
        <v>460</v>
      </c>
    </row>
    <row r="60" customFormat="false" ht="15" hidden="false" customHeight="false" outlineLevel="0" collapsed="false">
      <c r="A60" s="18" t="n">
        <v>6</v>
      </c>
      <c r="B60" s="21" t="s">
        <v>461</v>
      </c>
      <c r="C60" s="21" t="s">
        <v>434</v>
      </c>
      <c r="D60" s="18"/>
      <c r="E60" s="18"/>
      <c r="F60" s="18"/>
      <c r="G60" s="19" t="s">
        <v>462</v>
      </c>
    </row>
    <row r="61" customFormat="false" ht="15" hidden="false" customHeight="false" outlineLevel="0" collapsed="false">
      <c r="A61" s="14" t="n">
        <v>7</v>
      </c>
      <c r="B61" s="17" t="s">
        <v>463</v>
      </c>
      <c r="C61" s="17" t="s">
        <v>393</v>
      </c>
      <c r="D61" s="14"/>
      <c r="E61" s="14" t="s">
        <v>380</v>
      </c>
      <c r="F61" s="14"/>
      <c r="G61" s="17" t="s">
        <v>464</v>
      </c>
    </row>
    <row r="62" customFormat="false" ht="15" hidden="false" customHeight="false" outlineLevel="0" collapsed="false">
      <c r="A62" s="18" t="n">
        <v>8</v>
      </c>
      <c r="B62" s="21" t="s">
        <v>465</v>
      </c>
      <c r="C62" s="21" t="s">
        <v>444</v>
      </c>
      <c r="D62" s="18"/>
      <c r="E62" s="18"/>
      <c r="F62" s="18"/>
      <c r="G62" s="19" t="s">
        <v>466</v>
      </c>
    </row>
    <row r="63" customFormat="false" ht="15" hidden="false" customHeight="false" outlineLevel="0" collapsed="false">
      <c r="A63" s="14" t="n">
        <v>9</v>
      </c>
      <c r="B63" s="17" t="s">
        <v>467</v>
      </c>
      <c r="C63" s="17" t="s">
        <v>409</v>
      </c>
      <c r="D63" s="14"/>
      <c r="E63" s="14"/>
      <c r="F63" s="14"/>
      <c r="G63" s="15" t="s">
        <v>468</v>
      </c>
    </row>
    <row r="64" customFormat="false" ht="15" hidden="false" customHeight="false" outlineLevel="0" collapsed="false">
      <c r="A64" s="18" t="n">
        <v>10</v>
      </c>
      <c r="B64" s="21" t="s">
        <v>469</v>
      </c>
      <c r="C64" s="21" t="s">
        <v>409</v>
      </c>
      <c r="D64" s="18"/>
      <c r="E64" s="18"/>
      <c r="F64" s="18"/>
      <c r="G64" s="19" t="s">
        <v>470</v>
      </c>
    </row>
    <row r="65" customFormat="false" ht="15" hidden="false" customHeight="false" outlineLevel="0" collapsed="false">
      <c r="A65" s="14" t="n">
        <v>11</v>
      </c>
      <c r="B65" s="17" t="s">
        <v>471</v>
      </c>
      <c r="C65" s="17" t="s">
        <v>434</v>
      </c>
      <c r="D65" s="14"/>
      <c r="E65" s="14"/>
      <c r="F65" s="14"/>
      <c r="G65" s="15" t="s">
        <v>472</v>
      </c>
    </row>
    <row r="66" customFormat="false" ht="15" hidden="false" customHeight="false" outlineLevel="0" collapsed="false">
      <c r="A66" s="18" t="n">
        <v>12</v>
      </c>
      <c r="B66" s="21" t="s">
        <v>473</v>
      </c>
      <c r="C66" s="21" t="s">
        <v>409</v>
      </c>
      <c r="D66" s="18"/>
      <c r="E66" s="18"/>
      <c r="F66" s="18"/>
      <c r="G66" s="19" t="s">
        <v>474</v>
      </c>
    </row>
    <row r="67" customFormat="false" ht="15" hidden="false" customHeight="false" outlineLevel="0" collapsed="false">
      <c r="A67" s="14" t="n">
        <v>13</v>
      </c>
      <c r="B67" s="17" t="s">
        <v>475</v>
      </c>
      <c r="C67" s="17" t="s">
        <v>409</v>
      </c>
      <c r="D67" s="14"/>
      <c r="E67" s="14"/>
      <c r="F67" s="14"/>
      <c r="G67" s="15" t="s">
        <v>476</v>
      </c>
    </row>
    <row r="69" customFormat="false" ht="15" hidden="false" customHeight="false" outlineLevel="0" collapsed="false">
      <c r="A69" s="35" t="s">
        <v>477</v>
      </c>
      <c r="B69" s="35"/>
      <c r="C69" s="36" t="s">
        <v>478</v>
      </c>
      <c r="D69" s="36"/>
      <c r="E69" s="36"/>
      <c r="F69" s="36"/>
      <c r="G69" s="36"/>
    </row>
    <row r="70" customFormat="false" ht="25.35" hidden="false" customHeight="false" outlineLevel="0" collapsed="false">
      <c r="A70" s="24" t="s">
        <v>371</v>
      </c>
      <c r="B70" s="13" t="s">
        <v>372</v>
      </c>
      <c r="C70" s="13" t="s">
        <v>373</v>
      </c>
      <c r="D70" s="24" t="s">
        <v>374</v>
      </c>
      <c r="E70" s="24" t="s">
        <v>375</v>
      </c>
      <c r="F70" s="13" t="s">
        <v>376</v>
      </c>
      <c r="G70" s="13" t="s">
        <v>377</v>
      </c>
    </row>
    <row r="71" customFormat="false" ht="15" hidden="false" customHeight="false" outlineLevel="0" collapsed="false">
      <c r="A71" s="14" t="n">
        <v>1</v>
      </c>
      <c r="B71" s="17" t="s">
        <v>479</v>
      </c>
      <c r="C71" s="17" t="s">
        <v>379</v>
      </c>
      <c r="D71" s="14" t="s">
        <v>374</v>
      </c>
      <c r="E71" s="14" t="s">
        <v>380</v>
      </c>
      <c r="F71" s="14" t="s">
        <v>380</v>
      </c>
      <c r="G71" s="15" t="s">
        <v>480</v>
      </c>
    </row>
    <row r="72" customFormat="false" ht="15" hidden="false" customHeight="false" outlineLevel="0" collapsed="false">
      <c r="A72" s="18" t="n">
        <v>2</v>
      </c>
      <c r="B72" s="21" t="s">
        <v>378</v>
      </c>
      <c r="C72" s="21" t="s">
        <v>379</v>
      </c>
      <c r="D72" s="18"/>
      <c r="E72" s="18" t="s">
        <v>380</v>
      </c>
      <c r="F72" s="18"/>
      <c r="G72" s="19" t="s">
        <v>381</v>
      </c>
    </row>
    <row r="73" customFormat="false" ht="15" hidden="false" customHeight="false" outlineLevel="0" collapsed="false">
      <c r="A73" s="14" t="n">
        <v>3</v>
      </c>
      <c r="B73" s="17" t="s">
        <v>390</v>
      </c>
      <c r="C73" s="17" t="s">
        <v>379</v>
      </c>
      <c r="D73" s="14"/>
      <c r="E73" s="14"/>
      <c r="F73" s="14"/>
      <c r="G73" s="15" t="s">
        <v>391</v>
      </c>
    </row>
    <row r="74" customFormat="false" ht="15" hidden="false" customHeight="false" outlineLevel="0" collapsed="false">
      <c r="A74" s="18" t="n">
        <v>4</v>
      </c>
      <c r="B74" s="21" t="s">
        <v>481</v>
      </c>
      <c r="C74" s="21" t="s">
        <v>437</v>
      </c>
      <c r="D74" s="18"/>
      <c r="E74" s="18" t="s">
        <v>380</v>
      </c>
      <c r="F74" s="18"/>
      <c r="G74" s="21" t="s">
        <v>482</v>
      </c>
    </row>
    <row r="75" customFormat="false" ht="15" hidden="false" customHeight="false" outlineLevel="0" collapsed="false">
      <c r="A75" s="14" t="n">
        <v>5</v>
      </c>
      <c r="B75" s="17" t="s">
        <v>483</v>
      </c>
      <c r="C75" s="17" t="s">
        <v>484</v>
      </c>
      <c r="D75" s="14"/>
      <c r="E75" s="14"/>
      <c r="F75" s="14"/>
      <c r="G75" s="15" t="s">
        <v>485</v>
      </c>
    </row>
    <row r="76" customFormat="false" ht="15" hidden="false" customHeight="false" outlineLevel="0" collapsed="false">
      <c r="A76" s="18" t="n">
        <v>6</v>
      </c>
      <c r="B76" s="21" t="s">
        <v>486</v>
      </c>
      <c r="C76" s="21" t="s">
        <v>444</v>
      </c>
      <c r="D76" s="18"/>
      <c r="E76" s="18" t="s">
        <v>380</v>
      </c>
      <c r="F76" s="18"/>
      <c r="G76" s="19" t="s">
        <v>487</v>
      </c>
    </row>
    <row r="77" customFormat="false" ht="15" hidden="false" customHeight="false" outlineLevel="0" collapsed="false">
      <c r="A77" s="14" t="n">
        <v>7</v>
      </c>
      <c r="B77" s="17" t="s">
        <v>488</v>
      </c>
      <c r="C77" s="17" t="s">
        <v>409</v>
      </c>
      <c r="D77" s="14"/>
      <c r="E77" s="14"/>
      <c r="F77" s="14"/>
      <c r="G77" s="15" t="s">
        <v>489</v>
      </c>
    </row>
    <row r="79" customFormat="false" ht="15" hidden="false" customHeight="false" outlineLevel="0" collapsed="false">
      <c r="A79" s="35" t="s">
        <v>289</v>
      </c>
      <c r="B79" s="35"/>
      <c r="C79" s="36" t="s">
        <v>490</v>
      </c>
      <c r="D79" s="36"/>
      <c r="E79" s="36"/>
      <c r="F79" s="36"/>
      <c r="G79" s="36"/>
    </row>
    <row r="80" customFormat="false" ht="25.35" hidden="false" customHeight="false" outlineLevel="0" collapsed="false">
      <c r="A80" s="24" t="s">
        <v>371</v>
      </c>
      <c r="B80" s="13" t="s">
        <v>372</v>
      </c>
      <c r="C80" s="13" t="s">
        <v>373</v>
      </c>
      <c r="D80" s="24" t="s">
        <v>374</v>
      </c>
      <c r="E80" s="24" t="s">
        <v>375</v>
      </c>
      <c r="F80" s="13" t="s">
        <v>376</v>
      </c>
      <c r="G80" s="13" t="s">
        <v>377</v>
      </c>
    </row>
    <row r="81" customFormat="false" ht="15" hidden="false" customHeight="false" outlineLevel="0" collapsed="false">
      <c r="A81" s="14" t="n">
        <v>1</v>
      </c>
      <c r="B81" s="17" t="s">
        <v>378</v>
      </c>
      <c r="C81" s="17" t="s">
        <v>379</v>
      </c>
      <c r="D81" s="14" t="s">
        <v>374</v>
      </c>
      <c r="E81" s="14" t="s">
        <v>380</v>
      </c>
      <c r="F81" s="14"/>
      <c r="G81" s="15" t="s">
        <v>381</v>
      </c>
    </row>
    <row r="82" customFormat="false" ht="15" hidden="false" customHeight="false" outlineLevel="0" collapsed="false">
      <c r="A82" s="18" t="n">
        <v>2</v>
      </c>
      <c r="B82" s="21" t="s">
        <v>491</v>
      </c>
      <c r="C82" s="21" t="s">
        <v>484</v>
      </c>
      <c r="D82" s="18"/>
      <c r="E82" s="18" t="s">
        <v>380</v>
      </c>
      <c r="F82" s="18"/>
      <c r="G82" s="19" t="s">
        <v>492</v>
      </c>
    </row>
    <row r="83" customFormat="false" ht="15" hidden="false" customHeight="false" outlineLevel="0" collapsed="false">
      <c r="A83" s="14" t="n">
        <v>3</v>
      </c>
      <c r="B83" s="17" t="s">
        <v>493</v>
      </c>
      <c r="C83" s="17" t="s">
        <v>484</v>
      </c>
      <c r="D83" s="14"/>
      <c r="E83" s="14" t="s">
        <v>380</v>
      </c>
      <c r="F83" s="14"/>
      <c r="G83" s="15" t="s">
        <v>494</v>
      </c>
    </row>
    <row r="84" customFormat="false" ht="15" hidden="false" customHeight="false" outlineLevel="0" collapsed="false">
      <c r="A84" s="18" t="n">
        <v>4</v>
      </c>
      <c r="B84" s="21" t="s">
        <v>495</v>
      </c>
      <c r="C84" s="21" t="s">
        <v>434</v>
      </c>
      <c r="D84" s="18"/>
      <c r="E84" s="18"/>
      <c r="F84" s="18"/>
      <c r="G84" s="19" t="s">
        <v>496</v>
      </c>
    </row>
    <row r="85" customFormat="false" ht="15" hidden="false" customHeight="false" outlineLevel="0" collapsed="false">
      <c r="A85" s="14" t="n">
        <v>5</v>
      </c>
      <c r="B85" s="17" t="s">
        <v>411</v>
      </c>
      <c r="C85" s="17" t="s">
        <v>409</v>
      </c>
      <c r="D85" s="14"/>
      <c r="E85" s="14"/>
      <c r="F85" s="14"/>
      <c r="G85" s="15" t="s">
        <v>412</v>
      </c>
    </row>
    <row r="87" customFormat="false" ht="15" hidden="false" customHeight="false" outlineLevel="0" collapsed="false">
      <c r="A87" s="35" t="s">
        <v>497</v>
      </c>
      <c r="B87" s="35"/>
      <c r="C87" s="37" t="s">
        <v>498</v>
      </c>
      <c r="D87" s="37"/>
      <c r="E87" s="37"/>
      <c r="F87" s="37"/>
      <c r="G87" s="37"/>
    </row>
    <row r="88" customFormat="false" ht="25.35" hidden="false" customHeight="false" outlineLevel="0" collapsed="false">
      <c r="A88" s="24" t="s">
        <v>371</v>
      </c>
      <c r="B88" s="13" t="s">
        <v>372</v>
      </c>
      <c r="C88" s="13" t="s">
        <v>373</v>
      </c>
      <c r="D88" s="24" t="s">
        <v>374</v>
      </c>
      <c r="E88" s="24" t="s">
        <v>375</v>
      </c>
      <c r="F88" s="13" t="s">
        <v>376</v>
      </c>
      <c r="G88" s="13" t="s">
        <v>377</v>
      </c>
    </row>
    <row r="89" customFormat="false" ht="15" hidden="false" customHeight="false" outlineLevel="0" collapsed="false">
      <c r="A89" s="14" t="n">
        <v>1</v>
      </c>
      <c r="B89" s="17" t="s">
        <v>499</v>
      </c>
      <c r="C89" s="17" t="s">
        <v>379</v>
      </c>
      <c r="D89" s="14" t="s">
        <v>374</v>
      </c>
      <c r="E89" s="14" t="s">
        <v>380</v>
      </c>
      <c r="F89" s="14" t="s">
        <v>380</v>
      </c>
      <c r="G89" s="15" t="s">
        <v>500</v>
      </c>
    </row>
    <row r="90" customFormat="false" ht="15" hidden="false" customHeight="false" outlineLevel="0" collapsed="false">
      <c r="A90" s="18" t="n">
        <v>2</v>
      </c>
      <c r="B90" s="21" t="s">
        <v>378</v>
      </c>
      <c r="C90" s="21" t="s">
        <v>379</v>
      </c>
      <c r="D90" s="18"/>
      <c r="E90" s="18" t="s">
        <v>380</v>
      </c>
      <c r="F90" s="18"/>
      <c r="G90" s="19" t="s">
        <v>381</v>
      </c>
    </row>
    <row r="91" customFormat="false" ht="15" hidden="false" customHeight="false" outlineLevel="0" collapsed="false">
      <c r="A91" s="14" t="n">
        <v>3</v>
      </c>
      <c r="B91" s="17" t="s">
        <v>392</v>
      </c>
      <c r="C91" s="17" t="s">
        <v>393</v>
      </c>
      <c r="D91" s="14"/>
      <c r="E91" s="14" t="s">
        <v>380</v>
      </c>
      <c r="F91" s="14"/>
      <c r="G91" s="15" t="s">
        <v>394</v>
      </c>
    </row>
    <row r="92" customFormat="false" ht="15" hidden="false" customHeight="false" outlineLevel="0" collapsed="false">
      <c r="A92" s="18" t="n">
        <v>4</v>
      </c>
      <c r="B92" s="21" t="s">
        <v>501</v>
      </c>
      <c r="C92" s="21" t="s">
        <v>437</v>
      </c>
      <c r="D92" s="18"/>
      <c r="E92" s="18" t="s">
        <v>380</v>
      </c>
      <c r="F92" s="18"/>
      <c r="G92" s="21" t="s">
        <v>502</v>
      </c>
    </row>
    <row r="93" customFormat="false" ht="15" hidden="false" customHeight="false" outlineLevel="0" collapsed="false">
      <c r="A93" s="14" t="n">
        <v>5</v>
      </c>
      <c r="B93" s="17" t="s">
        <v>503</v>
      </c>
      <c r="C93" s="17" t="s">
        <v>383</v>
      </c>
      <c r="D93" s="14"/>
      <c r="E93" s="14"/>
      <c r="F93" s="14"/>
      <c r="G93" s="15" t="s">
        <v>504</v>
      </c>
    </row>
    <row r="94" customFormat="false" ht="15" hidden="false" customHeight="false" outlineLevel="0" collapsed="false">
      <c r="A94" s="18" t="n">
        <v>6</v>
      </c>
      <c r="B94" s="21" t="s">
        <v>505</v>
      </c>
      <c r="C94" s="21" t="s">
        <v>506</v>
      </c>
      <c r="D94" s="18"/>
      <c r="E94" s="18"/>
      <c r="F94" s="18"/>
      <c r="G94" s="19" t="s">
        <v>507</v>
      </c>
    </row>
    <row r="95" customFormat="false" ht="15" hidden="false" customHeight="false" outlineLevel="0" collapsed="false">
      <c r="A95" s="14" t="n">
        <v>7</v>
      </c>
      <c r="B95" s="17" t="s">
        <v>508</v>
      </c>
      <c r="C95" s="17" t="s">
        <v>393</v>
      </c>
      <c r="D95" s="14"/>
      <c r="E95" s="14"/>
      <c r="F95" s="14"/>
      <c r="G95" s="15" t="s">
        <v>509</v>
      </c>
    </row>
    <row r="96" customFormat="false" ht="15" hidden="false" customHeight="false" outlineLevel="0" collapsed="false">
      <c r="A96" s="18" t="n">
        <v>8</v>
      </c>
      <c r="B96" s="21" t="s">
        <v>510</v>
      </c>
      <c r="C96" s="21" t="s">
        <v>393</v>
      </c>
      <c r="D96" s="18"/>
      <c r="E96" s="18"/>
      <c r="F96" s="18"/>
      <c r="G96" s="19" t="s">
        <v>511</v>
      </c>
    </row>
    <row r="97" customFormat="false" ht="15" hidden="false" customHeight="false" outlineLevel="0" collapsed="false">
      <c r="A97" s="14" t="n">
        <v>9</v>
      </c>
      <c r="B97" s="17" t="s">
        <v>512</v>
      </c>
      <c r="C97" s="17" t="s">
        <v>402</v>
      </c>
      <c r="D97" s="14"/>
      <c r="E97" s="14"/>
      <c r="F97" s="14"/>
      <c r="G97" s="15" t="s">
        <v>513</v>
      </c>
    </row>
    <row r="98" customFormat="false" ht="15" hidden="false" customHeight="false" outlineLevel="0" collapsed="false">
      <c r="A98" s="18" t="n">
        <v>10</v>
      </c>
      <c r="B98" s="21" t="s">
        <v>514</v>
      </c>
      <c r="C98" s="21" t="s">
        <v>383</v>
      </c>
      <c r="D98" s="18"/>
      <c r="E98" s="18"/>
      <c r="F98" s="18"/>
      <c r="G98" s="19" t="s">
        <v>515</v>
      </c>
    </row>
    <row r="99" customFormat="false" ht="15" hidden="false" customHeight="false" outlineLevel="0" collapsed="false">
      <c r="A99" s="14" t="n">
        <v>11</v>
      </c>
      <c r="B99" s="17" t="s">
        <v>516</v>
      </c>
      <c r="C99" s="17" t="s">
        <v>383</v>
      </c>
      <c r="D99" s="14"/>
      <c r="E99" s="14"/>
      <c r="F99" s="14"/>
      <c r="G99" s="15" t="s">
        <v>517</v>
      </c>
    </row>
    <row r="100" customFormat="false" ht="15" hidden="false" customHeight="false" outlineLevel="0" collapsed="false">
      <c r="A100" s="18" t="n">
        <v>12</v>
      </c>
      <c r="B100" s="21" t="s">
        <v>518</v>
      </c>
      <c r="C100" s="21" t="s">
        <v>402</v>
      </c>
      <c r="D100" s="18"/>
      <c r="E100" s="18"/>
      <c r="F100" s="18"/>
      <c r="G100" s="19" t="s">
        <v>519</v>
      </c>
    </row>
    <row r="101" customFormat="false" ht="15" hidden="false" customHeight="false" outlineLevel="0" collapsed="false">
      <c r="A101" s="14" t="n">
        <v>13</v>
      </c>
      <c r="B101" s="17" t="s">
        <v>520</v>
      </c>
      <c r="C101" s="17" t="s">
        <v>402</v>
      </c>
      <c r="D101" s="14"/>
      <c r="E101" s="14"/>
      <c r="F101" s="14"/>
      <c r="G101" s="15" t="s">
        <v>521</v>
      </c>
    </row>
    <row r="102" customFormat="false" ht="15" hidden="false" customHeight="false" outlineLevel="0" collapsed="false">
      <c r="A102" s="18" t="n">
        <v>14</v>
      </c>
      <c r="B102" s="21" t="s">
        <v>473</v>
      </c>
      <c r="C102" s="21" t="s">
        <v>409</v>
      </c>
      <c r="D102" s="18"/>
      <c r="E102" s="18"/>
      <c r="F102" s="18"/>
      <c r="G102" s="19" t="s">
        <v>474</v>
      </c>
    </row>
    <row r="103" customFormat="false" ht="15" hidden="false" customHeight="false" outlineLevel="0" collapsed="false">
      <c r="A103" s="14" t="n">
        <v>15</v>
      </c>
      <c r="B103" s="17" t="s">
        <v>522</v>
      </c>
      <c r="C103" s="17" t="s">
        <v>409</v>
      </c>
      <c r="D103" s="14"/>
      <c r="E103" s="14"/>
      <c r="F103" s="14"/>
      <c r="G103" s="15" t="s">
        <v>523</v>
      </c>
    </row>
    <row r="105" customFormat="false" ht="15" hidden="false" customHeight="false" outlineLevel="0" collapsed="false">
      <c r="A105" s="35" t="s">
        <v>524</v>
      </c>
      <c r="B105" s="35"/>
      <c r="C105" s="36" t="s">
        <v>525</v>
      </c>
      <c r="D105" s="36"/>
      <c r="E105" s="36"/>
      <c r="F105" s="36"/>
      <c r="G105" s="36"/>
    </row>
    <row r="106" customFormat="false" ht="25.35" hidden="false" customHeight="false" outlineLevel="0" collapsed="false">
      <c r="A106" s="24" t="s">
        <v>371</v>
      </c>
      <c r="B106" s="13" t="s">
        <v>372</v>
      </c>
      <c r="C106" s="13" t="s">
        <v>373</v>
      </c>
      <c r="D106" s="24" t="s">
        <v>374</v>
      </c>
      <c r="E106" s="24" t="s">
        <v>375</v>
      </c>
      <c r="F106" s="13" t="s">
        <v>376</v>
      </c>
      <c r="G106" s="13" t="s">
        <v>377</v>
      </c>
    </row>
    <row r="107" customFormat="false" ht="15" hidden="false" customHeight="false" outlineLevel="0" collapsed="false">
      <c r="A107" s="14" t="n">
        <v>1</v>
      </c>
      <c r="B107" s="17" t="s">
        <v>526</v>
      </c>
      <c r="C107" s="17" t="s">
        <v>393</v>
      </c>
      <c r="D107" s="14" t="s">
        <v>374</v>
      </c>
      <c r="E107" s="14" t="s">
        <v>380</v>
      </c>
      <c r="F107" s="14"/>
      <c r="G107" s="15" t="s">
        <v>527</v>
      </c>
    </row>
    <row r="108" customFormat="false" ht="15" hidden="false" customHeight="false" outlineLevel="0" collapsed="false">
      <c r="A108" s="18" t="n">
        <v>2</v>
      </c>
      <c r="B108" s="21" t="s">
        <v>528</v>
      </c>
      <c r="C108" s="21" t="s">
        <v>437</v>
      </c>
      <c r="D108" s="18"/>
      <c r="E108" s="18" t="s">
        <v>380</v>
      </c>
      <c r="F108" s="18"/>
      <c r="G108" s="21" t="s">
        <v>529</v>
      </c>
    </row>
    <row r="109" customFormat="false" ht="15" hidden="false" customHeight="false" outlineLevel="0" collapsed="false">
      <c r="A109" s="14" t="n">
        <v>3</v>
      </c>
      <c r="B109" s="17" t="s">
        <v>530</v>
      </c>
      <c r="C109" s="17" t="s">
        <v>383</v>
      </c>
      <c r="D109" s="14"/>
      <c r="E109" s="14"/>
      <c r="F109" s="14"/>
      <c r="G109" s="15" t="s">
        <v>531</v>
      </c>
    </row>
    <row r="110" customFormat="false" ht="15" hidden="false" customHeight="false" outlineLevel="0" collapsed="false">
      <c r="A110" s="18" t="n">
        <v>4</v>
      </c>
      <c r="B110" s="21" t="s">
        <v>465</v>
      </c>
      <c r="C110" s="21" t="s">
        <v>386</v>
      </c>
      <c r="D110" s="18"/>
      <c r="E110" s="18"/>
      <c r="F110" s="18"/>
      <c r="G110" s="19" t="s">
        <v>466</v>
      </c>
    </row>
    <row r="111" customFormat="false" ht="15" hidden="false" customHeight="false" outlineLevel="0" collapsed="false">
      <c r="A111" s="14" t="n">
        <v>5</v>
      </c>
      <c r="B111" s="17" t="s">
        <v>488</v>
      </c>
      <c r="C111" s="17" t="s">
        <v>409</v>
      </c>
      <c r="D111" s="14"/>
      <c r="E111" s="14"/>
      <c r="F111" s="14"/>
      <c r="G111" s="15" t="s">
        <v>489</v>
      </c>
    </row>
    <row r="113" customFormat="false" ht="15" hidden="false" customHeight="false" outlineLevel="0" collapsed="false">
      <c r="A113" s="35" t="s">
        <v>532</v>
      </c>
      <c r="B113" s="35"/>
      <c r="C113" s="36" t="s">
        <v>533</v>
      </c>
      <c r="D113" s="36"/>
      <c r="E113" s="36"/>
      <c r="F113" s="36"/>
      <c r="G113" s="36"/>
    </row>
    <row r="114" customFormat="false" ht="25.35" hidden="false" customHeight="false" outlineLevel="0" collapsed="false">
      <c r="A114" s="24" t="s">
        <v>371</v>
      </c>
      <c r="B114" s="13" t="s">
        <v>372</v>
      </c>
      <c r="C114" s="13" t="s">
        <v>373</v>
      </c>
      <c r="D114" s="24" t="s">
        <v>374</v>
      </c>
      <c r="E114" s="24" t="s">
        <v>375</v>
      </c>
      <c r="F114" s="13" t="s">
        <v>376</v>
      </c>
      <c r="G114" s="13" t="s">
        <v>377</v>
      </c>
    </row>
    <row r="115" customFormat="false" ht="15" hidden="false" customHeight="false" outlineLevel="0" collapsed="false">
      <c r="A115" s="14" t="n">
        <v>1</v>
      </c>
      <c r="B115" s="17" t="s">
        <v>534</v>
      </c>
      <c r="C115" s="17" t="s">
        <v>379</v>
      </c>
      <c r="D115" s="14" t="s">
        <v>374</v>
      </c>
      <c r="E115" s="14" t="s">
        <v>380</v>
      </c>
      <c r="F115" s="14" t="s">
        <v>380</v>
      </c>
      <c r="G115" s="15" t="s">
        <v>535</v>
      </c>
    </row>
    <row r="116" customFormat="false" ht="15" hidden="false" customHeight="false" outlineLevel="0" collapsed="false">
      <c r="A116" s="18" t="n">
        <v>2</v>
      </c>
      <c r="B116" s="21" t="s">
        <v>378</v>
      </c>
      <c r="C116" s="21" t="s">
        <v>379</v>
      </c>
      <c r="D116" s="18"/>
      <c r="E116" s="18" t="s">
        <v>380</v>
      </c>
      <c r="F116" s="18"/>
      <c r="G116" s="19" t="s">
        <v>381</v>
      </c>
    </row>
    <row r="117" customFormat="false" ht="15" hidden="false" customHeight="false" outlineLevel="0" collapsed="false">
      <c r="A117" s="14" t="n">
        <v>3</v>
      </c>
      <c r="B117" s="17" t="s">
        <v>536</v>
      </c>
      <c r="C117" s="17" t="s">
        <v>437</v>
      </c>
      <c r="D117" s="14"/>
      <c r="E117" s="14" t="s">
        <v>380</v>
      </c>
      <c r="F117" s="14"/>
      <c r="G117" s="17" t="s">
        <v>537</v>
      </c>
    </row>
    <row r="118" customFormat="false" ht="15" hidden="false" customHeight="false" outlineLevel="0" collapsed="false">
      <c r="A118" s="18" t="n">
        <v>4</v>
      </c>
      <c r="B118" s="21" t="s">
        <v>538</v>
      </c>
      <c r="C118" s="21" t="s">
        <v>393</v>
      </c>
      <c r="D118" s="18"/>
      <c r="E118" s="18"/>
      <c r="F118" s="18"/>
      <c r="G118" s="21" t="s">
        <v>539</v>
      </c>
    </row>
    <row r="119" customFormat="false" ht="15" hidden="false" customHeight="false" outlineLevel="0" collapsed="false">
      <c r="A119" s="14" t="n">
        <v>5</v>
      </c>
      <c r="B119" s="17" t="s">
        <v>540</v>
      </c>
      <c r="C119" s="17" t="s">
        <v>393</v>
      </c>
      <c r="D119" s="14"/>
      <c r="E119" s="14"/>
      <c r="F119" s="14"/>
      <c r="G119" s="15" t="s">
        <v>541</v>
      </c>
    </row>
    <row r="120" customFormat="false" ht="15" hidden="false" customHeight="false" outlineLevel="0" collapsed="false">
      <c r="A120" s="18" t="n">
        <v>6</v>
      </c>
      <c r="B120" s="21" t="s">
        <v>528</v>
      </c>
      <c r="C120" s="21" t="s">
        <v>437</v>
      </c>
      <c r="D120" s="18"/>
      <c r="E120" s="18"/>
      <c r="F120" s="18"/>
      <c r="G120" s="21" t="s">
        <v>529</v>
      </c>
    </row>
    <row r="121" customFormat="false" ht="15" hidden="false" customHeight="false" outlineLevel="0" collapsed="false">
      <c r="A121" s="14" t="n">
        <v>7</v>
      </c>
      <c r="B121" s="17" t="s">
        <v>542</v>
      </c>
      <c r="C121" s="17" t="s">
        <v>437</v>
      </c>
      <c r="D121" s="14"/>
      <c r="E121" s="14" t="s">
        <v>380</v>
      </c>
      <c r="F121" s="14"/>
      <c r="G121" s="17" t="s">
        <v>543</v>
      </c>
    </row>
    <row r="122" customFormat="false" ht="15" hidden="false" customHeight="false" outlineLevel="0" collapsed="false">
      <c r="A122" s="18" t="n">
        <v>8</v>
      </c>
      <c r="B122" s="21" t="s">
        <v>544</v>
      </c>
      <c r="C122" s="21" t="s">
        <v>545</v>
      </c>
      <c r="D122" s="18"/>
      <c r="E122" s="18"/>
      <c r="F122" s="18"/>
      <c r="G122" s="21" t="s">
        <v>546</v>
      </c>
    </row>
    <row r="123" customFormat="false" ht="15" hidden="false" customHeight="false" outlineLevel="0" collapsed="false">
      <c r="A123" s="14" t="n">
        <v>9</v>
      </c>
      <c r="B123" s="17" t="s">
        <v>547</v>
      </c>
      <c r="C123" s="17" t="s">
        <v>484</v>
      </c>
      <c r="D123" s="14"/>
      <c r="E123" s="14"/>
      <c r="F123" s="14"/>
      <c r="G123" s="15" t="s">
        <v>548</v>
      </c>
    </row>
    <row r="124" customFormat="false" ht="15" hidden="false" customHeight="false" outlineLevel="0" collapsed="false">
      <c r="A124" s="18" t="n">
        <v>10</v>
      </c>
      <c r="B124" s="21" t="s">
        <v>549</v>
      </c>
      <c r="C124" s="21" t="s">
        <v>402</v>
      </c>
      <c r="D124" s="18"/>
      <c r="E124" s="18"/>
      <c r="F124" s="18"/>
      <c r="G124" s="21" t="s">
        <v>550</v>
      </c>
    </row>
    <row r="125" customFormat="false" ht="15" hidden="false" customHeight="false" outlineLevel="0" collapsed="false">
      <c r="A125" s="14" t="n">
        <v>11</v>
      </c>
      <c r="B125" s="17" t="s">
        <v>551</v>
      </c>
      <c r="C125" s="17" t="s">
        <v>393</v>
      </c>
      <c r="D125" s="14"/>
      <c r="E125" s="14"/>
      <c r="F125" s="14"/>
      <c r="G125" s="15" t="s">
        <v>552</v>
      </c>
    </row>
    <row r="126" customFormat="false" ht="15" hidden="false" customHeight="false" outlineLevel="0" collapsed="false">
      <c r="A126" s="18" t="n">
        <v>12</v>
      </c>
      <c r="B126" s="21" t="s">
        <v>553</v>
      </c>
      <c r="C126" s="21" t="s">
        <v>554</v>
      </c>
      <c r="D126" s="18"/>
      <c r="E126" s="18"/>
      <c r="F126" s="18"/>
      <c r="G126" s="19" t="s">
        <v>555</v>
      </c>
    </row>
    <row r="127" customFormat="false" ht="15" hidden="false" customHeight="false" outlineLevel="0" collapsed="false">
      <c r="A127" s="14" t="n">
        <v>13</v>
      </c>
      <c r="B127" s="17" t="s">
        <v>556</v>
      </c>
      <c r="C127" s="17" t="s">
        <v>484</v>
      </c>
      <c r="D127" s="14"/>
      <c r="E127" s="14"/>
      <c r="F127" s="14"/>
      <c r="G127" s="15" t="s">
        <v>557</v>
      </c>
    </row>
    <row r="128" customFormat="false" ht="15" hidden="false" customHeight="false" outlineLevel="0" collapsed="false">
      <c r="A128" s="18" t="n">
        <v>14</v>
      </c>
      <c r="B128" s="21" t="s">
        <v>558</v>
      </c>
      <c r="C128" s="21" t="s">
        <v>444</v>
      </c>
      <c r="D128" s="18"/>
      <c r="E128" s="18"/>
      <c r="F128" s="18"/>
      <c r="G128" s="19" t="s">
        <v>559</v>
      </c>
    </row>
    <row r="129" customFormat="false" ht="15" hidden="false" customHeight="false" outlineLevel="0" collapsed="false">
      <c r="A129" s="14" t="n">
        <v>15</v>
      </c>
      <c r="B129" s="17" t="s">
        <v>508</v>
      </c>
      <c r="C129" s="17" t="s">
        <v>393</v>
      </c>
      <c r="D129" s="14"/>
      <c r="E129" s="14"/>
      <c r="F129" s="14"/>
      <c r="G129" s="15" t="s">
        <v>509</v>
      </c>
    </row>
    <row r="130" customFormat="false" ht="15" hidden="false" customHeight="false" outlineLevel="0" collapsed="false">
      <c r="A130" s="18" t="n">
        <v>16</v>
      </c>
      <c r="B130" s="21" t="s">
        <v>488</v>
      </c>
      <c r="C130" s="21" t="s">
        <v>409</v>
      </c>
      <c r="D130" s="18"/>
      <c r="E130" s="18"/>
      <c r="F130" s="18"/>
      <c r="G130" s="19" t="s">
        <v>489</v>
      </c>
    </row>
    <row r="132" customFormat="false" ht="15" hidden="false" customHeight="false" outlineLevel="0" collapsed="false">
      <c r="A132" s="35" t="s">
        <v>560</v>
      </c>
      <c r="B132" s="35"/>
      <c r="C132" s="36" t="s">
        <v>561</v>
      </c>
      <c r="D132" s="36"/>
      <c r="E132" s="36"/>
      <c r="F132" s="36"/>
      <c r="G132" s="36"/>
    </row>
    <row r="133" customFormat="false" ht="25.35" hidden="false" customHeight="false" outlineLevel="0" collapsed="false">
      <c r="A133" s="24" t="s">
        <v>371</v>
      </c>
      <c r="B133" s="13" t="s">
        <v>372</v>
      </c>
      <c r="C133" s="13" t="s">
        <v>373</v>
      </c>
      <c r="D133" s="24" t="s">
        <v>374</v>
      </c>
      <c r="E133" s="24" t="s">
        <v>375</v>
      </c>
      <c r="F133" s="13" t="s">
        <v>376</v>
      </c>
      <c r="G133" s="13" t="s">
        <v>377</v>
      </c>
    </row>
    <row r="134" customFormat="false" ht="15" hidden="false" customHeight="false" outlineLevel="0" collapsed="false">
      <c r="A134" s="14" t="n">
        <v>1</v>
      </c>
      <c r="B134" s="17" t="s">
        <v>562</v>
      </c>
      <c r="C134" s="17" t="s">
        <v>379</v>
      </c>
      <c r="D134" s="14" t="s">
        <v>374</v>
      </c>
      <c r="E134" s="14" t="s">
        <v>380</v>
      </c>
      <c r="F134" s="14" t="s">
        <v>380</v>
      </c>
      <c r="G134" s="15" t="s">
        <v>563</v>
      </c>
    </row>
    <row r="135" customFormat="false" ht="15" hidden="false" customHeight="false" outlineLevel="0" collapsed="false">
      <c r="A135" s="18" t="n">
        <v>2</v>
      </c>
      <c r="B135" s="21" t="s">
        <v>564</v>
      </c>
      <c r="C135" s="21" t="s">
        <v>565</v>
      </c>
      <c r="D135" s="18"/>
      <c r="E135" s="18" t="s">
        <v>380</v>
      </c>
      <c r="F135" s="18"/>
      <c r="G135" s="19" t="s">
        <v>566</v>
      </c>
    </row>
    <row r="136" customFormat="false" ht="15" hidden="false" customHeight="false" outlineLevel="0" collapsed="false">
      <c r="A136" s="14" t="n">
        <v>3</v>
      </c>
      <c r="B136" s="17" t="s">
        <v>567</v>
      </c>
      <c r="C136" s="17" t="s">
        <v>568</v>
      </c>
      <c r="D136" s="14"/>
      <c r="E136" s="14" t="s">
        <v>380</v>
      </c>
      <c r="F136" s="14"/>
      <c r="G136" s="17" t="s">
        <v>569</v>
      </c>
    </row>
    <row r="137" customFormat="false" ht="15" hidden="false" customHeight="false" outlineLevel="0" collapsed="false">
      <c r="A137" s="18" t="n">
        <v>4</v>
      </c>
      <c r="B137" s="21" t="s">
        <v>570</v>
      </c>
      <c r="C137" s="21" t="s">
        <v>449</v>
      </c>
      <c r="D137" s="18"/>
      <c r="E137" s="18" t="s">
        <v>380</v>
      </c>
      <c r="F137" s="18"/>
      <c r="G137" s="19" t="s">
        <v>571</v>
      </c>
    </row>
    <row r="138" customFormat="false" ht="15" hidden="false" customHeight="false" outlineLevel="0" collapsed="false">
      <c r="A138" s="14" t="n">
        <v>5</v>
      </c>
      <c r="B138" s="17" t="s">
        <v>572</v>
      </c>
      <c r="C138" s="17" t="s">
        <v>434</v>
      </c>
      <c r="D138" s="14"/>
      <c r="E138" s="14"/>
      <c r="F138" s="14"/>
      <c r="G138" s="15" t="s">
        <v>573</v>
      </c>
    </row>
    <row r="139" customFormat="false" ht="15" hidden="false" customHeight="false" outlineLevel="0" collapsed="false">
      <c r="A139" s="18" t="n">
        <v>6</v>
      </c>
      <c r="B139" s="21" t="s">
        <v>488</v>
      </c>
      <c r="C139" s="21" t="s">
        <v>409</v>
      </c>
      <c r="D139" s="18"/>
      <c r="E139" s="18" t="s">
        <v>380</v>
      </c>
      <c r="F139" s="18"/>
      <c r="G139" s="19" t="s">
        <v>489</v>
      </c>
    </row>
    <row r="140" customFormat="false" ht="15" hidden="false" customHeight="false" outlineLevel="0" collapsed="false">
      <c r="A140" s="14" t="n">
        <v>7</v>
      </c>
      <c r="B140" s="17" t="s">
        <v>574</v>
      </c>
      <c r="C140" s="17" t="s">
        <v>409</v>
      </c>
      <c r="D140" s="14"/>
      <c r="E140" s="14"/>
      <c r="F140" s="14"/>
      <c r="G140" s="15" t="s">
        <v>575</v>
      </c>
    </row>
    <row r="142" customFormat="false" ht="15" hidden="false" customHeight="false" outlineLevel="0" collapsed="false">
      <c r="A142" s="35" t="s">
        <v>576</v>
      </c>
      <c r="B142" s="35"/>
      <c r="C142" s="36" t="s">
        <v>577</v>
      </c>
      <c r="D142" s="36"/>
      <c r="E142" s="36"/>
      <c r="F142" s="36"/>
      <c r="G142" s="36"/>
    </row>
    <row r="143" customFormat="false" ht="25.35" hidden="false" customHeight="false" outlineLevel="0" collapsed="false">
      <c r="A143" s="24" t="s">
        <v>371</v>
      </c>
      <c r="B143" s="13" t="s">
        <v>372</v>
      </c>
      <c r="C143" s="13" t="s">
        <v>373</v>
      </c>
      <c r="D143" s="24" t="s">
        <v>374</v>
      </c>
      <c r="E143" s="24" t="s">
        <v>375</v>
      </c>
      <c r="F143" s="13" t="s">
        <v>376</v>
      </c>
      <c r="G143" s="13" t="s">
        <v>377</v>
      </c>
    </row>
    <row r="144" customFormat="false" ht="15" hidden="false" customHeight="false" outlineLevel="0" collapsed="false">
      <c r="A144" s="14" t="n">
        <v>1</v>
      </c>
      <c r="B144" s="17" t="s">
        <v>578</v>
      </c>
      <c r="C144" s="17" t="s">
        <v>568</v>
      </c>
      <c r="D144" s="14" t="s">
        <v>374</v>
      </c>
      <c r="E144" s="14" t="s">
        <v>380</v>
      </c>
      <c r="F144" s="14"/>
      <c r="G144" s="15" t="s">
        <v>579</v>
      </c>
    </row>
    <row r="145" customFormat="false" ht="15" hidden="false" customHeight="false" outlineLevel="0" collapsed="false">
      <c r="A145" s="18" t="n">
        <v>2</v>
      </c>
      <c r="B145" s="21" t="s">
        <v>580</v>
      </c>
      <c r="C145" s="21" t="s">
        <v>437</v>
      </c>
      <c r="D145" s="18"/>
      <c r="E145" s="18" t="s">
        <v>380</v>
      </c>
      <c r="F145" s="18"/>
      <c r="G145" s="21" t="s">
        <v>581</v>
      </c>
    </row>
    <row r="146" customFormat="false" ht="15" hidden="false" customHeight="false" outlineLevel="0" collapsed="false">
      <c r="A146" s="14" t="n">
        <v>3</v>
      </c>
      <c r="B146" s="17" t="s">
        <v>562</v>
      </c>
      <c r="C146" s="17" t="s">
        <v>379</v>
      </c>
      <c r="D146" s="14"/>
      <c r="E146" s="14" t="s">
        <v>380</v>
      </c>
      <c r="F146" s="14"/>
      <c r="G146" s="15" t="s">
        <v>563</v>
      </c>
    </row>
    <row r="147" customFormat="false" ht="15" hidden="false" customHeight="false" outlineLevel="0" collapsed="false">
      <c r="A147" s="18" t="n">
        <v>4</v>
      </c>
      <c r="B147" s="21" t="s">
        <v>582</v>
      </c>
      <c r="C147" s="21" t="s">
        <v>583</v>
      </c>
      <c r="D147" s="18"/>
      <c r="E147" s="18"/>
      <c r="F147" s="18"/>
      <c r="G147" s="19" t="s">
        <v>584</v>
      </c>
    </row>
    <row r="148" customFormat="false" ht="15" hidden="false" customHeight="false" outlineLevel="0" collapsed="false">
      <c r="A148" s="14" t="n">
        <v>5</v>
      </c>
      <c r="B148" s="17" t="s">
        <v>488</v>
      </c>
      <c r="C148" s="17" t="s">
        <v>409</v>
      </c>
      <c r="D148" s="14"/>
      <c r="E148" s="14" t="s">
        <v>380</v>
      </c>
      <c r="F148" s="14"/>
      <c r="G148" s="15" t="s">
        <v>489</v>
      </c>
    </row>
    <row r="149" customFormat="false" ht="15" hidden="false" customHeight="false" outlineLevel="0" collapsed="false">
      <c r="A149" s="18" t="n">
        <v>6</v>
      </c>
      <c r="B149" s="21" t="s">
        <v>585</v>
      </c>
      <c r="C149" s="21" t="s">
        <v>409</v>
      </c>
      <c r="D149" s="18"/>
      <c r="E149" s="18" t="s">
        <v>380</v>
      </c>
      <c r="F149" s="18"/>
      <c r="G149" s="19" t="s">
        <v>586</v>
      </c>
    </row>
    <row r="150" customFormat="false" ht="15" hidden="false" customHeight="false" outlineLevel="0" collapsed="false">
      <c r="A150" s="14" t="n">
        <v>7</v>
      </c>
      <c r="B150" s="17" t="s">
        <v>587</v>
      </c>
      <c r="C150" s="17" t="s">
        <v>409</v>
      </c>
      <c r="D150" s="14"/>
      <c r="E150" s="14"/>
      <c r="F150" s="14"/>
      <c r="G150" s="15" t="s">
        <v>588</v>
      </c>
    </row>
    <row r="151" customFormat="false" ht="15" hidden="false" customHeight="false" outlineLevel="0" collapsed="false">
      <c r="A151" s="18" t="n">
        <v>8</v>
      </c>
      <c r="B151" s="21" t="s">
        <v>589</v>
      </c>
      <c r="C151" s="21" t="s">
        <v>449</v>
      </c>
      <c r="D151" s="18"/>
      <c r="E151" s="18" t="s">
        <v>380</v>
      </c>
      <c r="F151" s="18"/>
      <c r="G151" s="19" t="s">
        <v>590</v>
      </c>
    </row>
  </sheetData>
  <mergeCells count="24">
    <mergeCell ref="A4:B4"/>
    <mergeCell ref="C4:G4"/>
    <mergeCell ref="A10:B10"/>
    <mergeCell ref="C10:G10"/>
    <mergeCell ref="A24:B24"/>
    <mergeCell ref="C24:G24"/>
    <mergeCell ref="A39:B39"/>
    <mergeCell ref="C39:G39"/>
    <mergeCell ref="A53:B53"/>
    <mergeCell ref="C53:G53"/>
    <mergeCell ref="A69:B69"/>
    <mergeCell ref="C69:G69"/>
    <mergeCell ref="A79:B79"/>
    <mergeCell ref="C79:G79"/>
    <mergeCell ref="A87:B87"/>
    <mergeCell ref="C87:G87"/>
    <mergeCell ref="A105:B105"/>
    <mergeCell ref="C105:G105"/>
    <mergeCell ref="A113:B113"/>
    <mergeCell ref="C113:G113"/>
    <mergeCell ref="A132:B132"/>
    <mergeCell ref="C132:G132"/>
    <mergeCell ref="A142:B142"/>
    <mergeCell ref="C142:G1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50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3.1" hidden="false" customHeight="false" outlineLevel="0" collapsed="false">
      <c r="A1" s="11" t="s">
        <v>591</v>
      </c>
    </row>
    <row r="2" customFormat="false" ht="15" hidden="false" customHeight="false" outlineLevel="0" collapsed="false">
      <c r="A2" s="12" t="s">
        <v>592</v>
      </c>
    </row>
    <row r="4" customFormat="false" ht="15" hidden="false" customHeight="false" outlineLevel="0" collapsed="false">
      <c r="A4" s="24" t="s">
        <v>371</v>
      </c>
      <c r="B4" s="13" t="s">
        <v>93</v>
      </c>
      <c r="C4" s="24" t="s">
        <v>593</v>
      </c>
      <c r="D4" s="24" t="s">
        <v>594</v>
      </c>
      <c r="E4" s="13" t="s">
        <v>377</v>
      </c>
      <c r="F4" s="13" t="s">
        <v>595</v>
      </c>
      <c r="G4" s="13" t="s">
        <v>596</v>
      </c>
      <c r="H4" s="13" t="s">
        <v>597</v>
      </c>
      <c r="I4" s="13" t="s">
        <v>598</v>
      </c>
    </row>
    <row r="5" customFormat="false" ht="15" hidden="false" customHeight="false" outlineLevel="0" collapsed="false">
      <c r="A5" s="14" t="n">
        <v>1</v>
      </c>
      <c r="B5" s="16" t="s">
        <v>599</v>
      </c>
      <c r="C5" s="14" t="s">
        <v>600</v>
      </c>
      <c r="D5" s="17" t="s">
        <v>601</v>
      </c>
      <c r="E5" s="15" t="s">
        <v>602</v>
      </c>
      <c r="F5" s="17" t="s">
        <v>42</v>
      </c>
      <c r="G5" s="17" t="s">
        <v>603</v>
      </c>
      <c r="H5" s="16" t="s">
        <v>604</v>
      </c>
      <c r="I5" s="16" t="s">
        <v>605</v>
      </c>
    </row>
    <row r="6" customFormat="false" ht="27.6" hidden="false" customHeight="false" outlineLevel="0" collapsed="false">
      <c r="A6" s="18" t="n">
        <v>2</v>
      </c>
      <c r="B6" s="20" t="s">
        <v>599</v>
      </c>
      <c r="C6" s="18" t="s">
        <v>600</v>
      </c>
      <c r="D6" s="21" t="s">
        <v>606</v>
      </c>
      <c r="E6" s="19" t="s">
        <v>607</v>
      </c>
      <c r="F6" s="21" t="s">
        <v>42</v>
      </c>
      <c r="G6" s="21" t="s">
        <v>608</v>
      </c>
      <c r="H6" s="20" t="s">
        <v>609</v>
      </c>
      <c r="I6" s="20" t="s">
        <v>605</v>
      </c>
    </row>
    <row r="7" customFormat="false" ht="37.3" hidden="false" customHeight="false" outlineLevel="0" collapsed="false">
      <c r="A7" s="14" t="n">
        <v>3</v>
      </c>
      <c r="B7" s="16" t="s">
        <v>599</v>
      </c>
      <c r="C7" s="14" t="s">
        <v>610</v>
      </c>
      <c r="D7" s="17" t="s">
        <v>611</v>
      </c>
      <c r="E7" s="15" t="s">
        <v>612</v>
      </c>
      <c r="F7" s="17" t="s">
        <v>613</v>
      </c>
      <c r="G7" s="17" t="s">
        <v>614</v>
      </c>
      <c r="H7" s="16" t="s">
        <v>609</v>
      </c>
      <c r="I7" s="16" t="s">
        <v>615</v>
      </c>
    </row>
    <row r="8" customFormat="false" ht="25.35" hidden="false" customHeight="false" outlineLevel="0" collapsed="false">
      <c r="A8" s="18" t="n">
        <v>4</v>
      </c>
      <c r="B8" s="20" t="s">
        <v>599</v>
      </c>
      <c r="C8" s="18" t="s">
        <v>610</v>
      </c>
      <c r="D8" s="21" t="s">
        <v>616</v>
      </c>
      <c r="E8" s="19" t="s">
        <v>617</v>
      </c>
      <c r="F8" s="21" t="s">
        <v>618</v>
      </c>
      <c r="G8" s="21" t="s">
        <v>619</v>
      </c>
      <c r="H8" s="20" t="s">
        <v>609</v>
      </c>
      <c r="I8" s="20" t="s">
        <v>615</v>
      </c>
    </row>
    <row r="9" customFormat="false" ht="15" hidden="false" customHeight="false" outlineLevel="0" collapsed="false">
      <c r="A9" s="14" t="n">
        <v>5</v>
      </c>
      <c r="B9" s="16" t="s">
        <v>599</v>
      </c>
      <c r="C9" s="14" t="s">
        <v>610</v>
      </c>
      <c r="D9" s="17" t="s">
        <v>620</v>
      </c>
      <c r="E9" s="15" t="s">
        <v>621</v>
      </c>
      <c r="F9" s="17" t="s">
        <v>622</v>
      </c>
      <c r="G9" s="17" t="s">
        <v>619</v>
      </c>
      <c r="H9" s="16" t="s">
        <v>609</v>
      </c>
      <c r="I9" s="16" t="s">
        <v>605</v>
      </c>
    </row>
    <row r="10" customFormat="false" ht="15" hidden="false" customHeight="false" outlineLevel="0" collapsed="false">
      <c r="A10" s="18" t="n">
        <v>6</v>
      </c>
      <c r="B10" s="20" t="s">
        <v>599</v>
      </c>
      <c r="C10" s="18" t="s">
        <v>610</v>
      </c>
      <c r="D10" s="21" t="s">
        <v>623</v>
      </c>
      <c r="E10" s="19" t="s">
        <v>624</v>
      </c>
      <c r="F10" s="21" t="s">
        <v>42</v>
      </c>
      <c r="G10" s="21" t="s">
        <v>619</v>
      </c>
      <c r="H10" s="20" t="s">
        <v>609</v>
      </c>
      <c r="I10" s="20" t="s">
        <v>615</v>
      </c>
    </row>
    <row r="11" customFormat="false" ht="15" hidden="false" customHeight="false" outlineLevel="0" collapsed="false">
      <c r="A11" s="14" t="n">
        <v>7</v>
      </c>
      <c r="B11" s="16" t="s">
        <v>599</v>
      </c>
      <c r="C11" s="14" t="s">
        <v>610</v>
      </c>
      <c r="D11" s="17" t="s">
        <v>625</v>
      </c>
      <c r="E11" s="15" t="s">
        <v>626</v>
      </c>
      <c r="F11" s="17" t="s">
        <v>42</v>
      </c>
      <c r="G11" s="17" t="s">
        <v>619</v>
      </c>
      <c r="H11" s="16" t="s">
        <v>609</v>
      </c>
      <c r="I11" s="16" t="s">
        <v>615</v>
      </c>
    </row>
    <row r="12" customFormat="false" ht="15" hidden="false" customHeight="false" outlineLevel="0" collapsed="false">
      <c r="A12" s="18" t="n">
        <v>8</v>
      </c>
      <c r="B12" s="20" t="s">
        <v>599</v>
      </c>
      <c r="C12" s="18" t="s">
        <v>600</v>
      </c>
      <c r="D12" s="21" t="s">
        <v>627</v>
      </c>
      <c r="E12" s="19" t="s">
        <v>628</v>
      </c>
      <c r="F12" s="21" t="s">
        <v>629</v>
      </c>
      <c r="G12" s="21" t="s">
        <v>630</v>
      </c>
      <c r="H12" s="20" t="s">
        <v>609</v>
      </c>
      <c r="I12" s="20" t="s">
        <v>605</v>
      </c>
    </row>
    <row r="13" customFormat="false" ht="25.35" hidden="false" customHeight="false" outlineLevel="0" collapsed="false">
      <c r="A13" s="14" t="n">
        <v>9</v>
      </c>
      <c r="B13" s="16" t="s">
        <v>599</v>
      </c>
      <c r="C13" s="14" t="s">
        <v>600</v>
      </c>
      <c r="D13" s="17" t="s">
        <v>631</v>
      </c>
      <c r="E13" s="15" t="s">
        <v>632</v>
      </c>
      <c r="F13" s="17" t="s">
        <v>42</v>
      </c>
      <c r="G13" s="17" t="s">
        <v>633</v>
      </c>
      <c r="H13" s="16" t="s">
        <v>609</v>
      </c>
      <c r="I13" s="16" t="s">
        <v>605</v>
      </c>
    </row>
    <row r="14" customFormat="false" ht="25.35" hidden="false" customHeight="false" outlineLevel="0" collapsed="false">
      <c r="A14" s="18" t="n">
        <v>10</v>
      </c>
      <c r="B14" s="20" t="s">
        <v>599</v>
      </c>
      <c r="C14" s="18" t="s">
        <v>634</v>
      </c>
      <c r="D14" s="21" t="s">
        <v>631</v>
      </c>
      <c r="E14" s="19" t="s">
        <v>635</v>
      </c>
      <c r="F14" s="21" t="s">
        <v>636</v>
      </c>
      <c r="G14" s="21" t="s">
        <v>637</v>
      </c>
      <c r="H14" s="20" t="s">
        <v>609</v>
      </c>
      <c r="I14" s="20" t="s">
        <v>605</v>
      </c>
    </row>
    <row r="15" customFormat="false" ht="15" hidden="false" customHeight="false" outlineLevel="0" collapsed="false">
      <c r="A15" s="14" t="n">
        <v>11</v>
      </c>
      <c r="B15" s="16" t="s">
        <v>599</v>
      </c>
      <c r="C15" s="14" t="s">
        <v>610</v>
      </c>
      <c r="D15" s="17" t="s">
        <v>638</v>
      </c>
      <c r="E15" s="15" t="s">
        <v>639</v>
      </c>
      <c r="F15" s="17" t="s">
        <v>640</v>
      </c>
      <c r="G15" s="17" t="s">
        <v>603</v>
      </c>
      <c r="H15" s="16" t="s">
        <v>609</v>
      </c>
      <c r="I15" s="16" t="s">
        <v>615</v>
      </c>
    </row>
    <row r="16" customFormat="false" ht="25.35" hidden="false" customHeight="false" outlineLevel="0" collapsed="false">
      <c r="A16" s="18" t="n">
        <v>12</v>
      </c>
      <c r="B16" s="20" t="s">
        <v>599</v>
      </c>
      <c r="C16" s="18" t="s">
        <v>600</v>
      </c>
      <c r="D16" s="21" t="s">
        <v>641</v>
      </c>
      <c r="E16" s="19" t="s">
        <v>642</v>
      </c>
      <c r="F16" s="21" t="s">
        <v>643</v>
      </c>
      <c r="G16" s="21" t="s">
        <v>644</v>
      </c>
      <c r="H16" s="20" t="s">
        <v>609</v>
      </c>
      <c r="I16" s="20" t="s">
        <v>645</v>
      </c>
    </row>
    <row r="17" customFormat="false" ht="29.85" hidden="false" customHeight="false" outlineLevel="0" collapsed="false">
      <c r="A17" s="14" t="n">
        <v>13</v>
      </c>
      <c r="B17" s="16" t="s">
        <v>599</v>
      </c>
      <c r="C17" s="14" t="s">
        <v>610</v>
      </c>
      <c r="D17" s="17" t="s">
        <v>646</v>
      </c>
      <c r="E17" s="15" t="s">
        <v>647</v>
      </c>
      <c r="F17" s="17" t="s">
        <v>648</v>
      </c>
      <c r="G17" s="17" t="s">
        <v>649</v>
      </c>
      <c r="H17" s="16" t="s">
        <v>609</v>
      </c>
      <c r="I17" s="16" t="s">
        <v>615</v>
      </c>
    </row>
    <row r="18" customFormat="false" ht="15" hidden="false" customHeight="false" outlineLevel="0" collapsed="false">
      <c r="A18" s="18" t="n">
        <v>14</v>
      </c>
      <c r="B18" s="20" t="s">
        <v>599</v>
      </c>
      <c r="C18" s="18" t="s">
        <v>600</v>
      </c>
      <c r="D18" s="21" t="s">
        <v>650</v>
      </c>
      <c r="E18" s="19" t="s">
        <v>651</v>
      </c>
      <c r="F18" s="21" t="s">
        <v>629</v>
      </c>
      <c r="G18" s="21" t="s">
        <v>652</v>
      </c>
      <c r="H18" s="20" t="s">
        <v>609</v>
      </c>
      <c r="I18" s="20" t="s">
        <v>605</v>
      </c>
    </row>
    <row r="19" customFormat="false" ht="29.85" hidden="false" customHeight="false" outlineLevel="0" collapsed="false">
      <c r="A19" s="14" t="n">
        <v>15</v>
      </c>
      <c r="B19" s="16" t="s">
        <v>599</v>
      </c>
      <c r="C19" s="14" t="s">
        <v>600</v>
      </c>
      <c r="D19" s="17" t="s">
        <v>653</v>
      </c>
      <c r="E19" s="15" t="s">
        <v>654</v>
      </c>
      <c r="F19" s="15" t="s">
        <v>655</v>
      </c>
      <c r="G19" s="17" t="s">
        <v>656</v>
      </c>
      <c r="H19" s="16" t="s">
        <v>657</v>
      </c>
      <c r="I19" s="16" t="s">
        <v>605</v>
      </c>
    </row>
    <row r="20" customFormat="false" ht="15" hidden="false" customHeight="false" outlineLevel="0" collapsed="false">
      <c r="A20" s="18" t="n">
        <v>16</v>
      </c>
      <c r="B20" s="20" t="s">
        <v>599</v>
      </c>
      <c r="C20" s="18" t="s">
        <v>600</v>
      </c>
      <c r="D20" s="21" t="s">
        <v>658</v>
      </c>
      <c r="E20" s="19" t="s">
        <v>659</v>
      </c>
      <c r="F20" s="21" t="s">
        <v>42</v>
      </c>
      <c r="G20" s="21" t="s">
        <v>660</v>
      </c>
      <c r="H20" s="20" t="s">
        <v>609</v>
      </c>
      <c r="I20" s="20" t="s">
        <v>661</v>
      </c>
    </row>
    <row r="21" customFormat="false" ht="37.3" hidden="false" customHeight="false" outlineLevel="0" collapsed="false">
      <c r="A21" s="14" t="n">
        <v>17</v>
      </c>
      <c r="B21" s="16" t="s">
        <v>599</v>
      </c>
      <c r="C21" s="14" t="s">
        <v>610</v>
      </c>
      <c r="D21" s="17" t="s">
        <v>662</v>
      </c>
      <c r="E21" s="15" t="s">
        <v>663</v>
      </c>
      <c r="F21" s="17" t="s">
        <v>664</v>
      </c>
      <c r="G21" s="17" t="s">
        <v>665</v>
      </c>
      <c r="H21" s="16" t="s">
        <v>609</v>
      </c>
      <c r="I21" s="16" t="s">
        <v>615</v>
      </c>
    </row>
    <row r="22" customFormat="false" ht="37.3" hidden="false" customHeight="false" outlineLevel="0" collapsed="false">
      <c r="A22" s="18" t="n">
        <v>18</v>
      </c>
      <c r="B22" s="20" t="s">
        <v>599</v>
      </c>
      <c r="C22" s="18" t="s">
        <v>600</v>
      </c>
      <c r="D22" s="21" t="s">
        <v>666</v>
      </c>
      <c r="E22" s="19" t="s">
        <v>667</v>
      </c>
      <c r="F22" s="21" t="s">
        <v>42</v>
      </c>
      <c r="G22" s="21" t="s">
        <v>668</v>
      </c>
      <c r="H22" s="20" t="s">
        <v>609</v>
      </c>
      <c r="I22" s="20" t="s">
        <v>605</v>
      </c>
    </row>
    <row r="23" customFormat="false" ht="15" hidden="false" customHeight="false" outlineLevel="0" collapsed="false">
      <c r="A23" s="14" t="n">
        <v>19</v>
      </c>
      <c r="B23" s="16" t="s">
        <v>597</v>
      </c>
      <c r="C23" s="14" t="s">
        <v>600</v>
      </c>
      <c r="D23" s="17" t="s">
        <v>669</v>
      </c>
      <c r="E23" s="15" t="s">
        <v>670</v>
      </c>
      <c r="F23" s="15" t="s">
        <v>671</v>
      </c>
      <c r="G23" s="17" t="s">
        <v>672</v>
      </c>
      <c r="H23" s="16" t="s">
        <v>604</v>
      </c>
      <c r="I23" s="16" t="s">
        <v>605</v>
      </c>
    </row>
    <row r="24" customFormat="false" ht="15" hidden="false" customHeight="false" outlineLevel="0" collapsed="false">
      <c r="A24" s="18" t="n">
        <v>20</v>
      </c>
      <c r="B24" s="20" t="s">
        <v>597</v>
      </c>
      <c r="C24" s="18" t="s">
        <v>600</v>
      </c>
      <c r="D24" s="21" t="s">
        <v>673</v>
      </c>
      <c r="E24" s="19" t="s">
        <v>674</v>
      </c>
      <c r="F24" s="19" t="s">
        <v>675</v>
      </c>
      <c r="G24" s="21" t="s">
        <v>676</v>
      </c>
      <c r="H24" s="20" t="s">
        <v>677</v>
      </c>
      <c r="I24" s="20" t="s">
        <v>661</v>
      </c>
    </row>
    <row r="25" customFormat="false" ht="15" hidden="false" customHeight="false" outlineLevel="0" collapsed="false">
      <c r="A25" s="14" t="n">
        <v>21</v>
      </c>
      <c r="B25" s="16" t="s">
        <v>597</v>
      </c>
      <c r="C25" s="14" t="s">
        <v>610</v>
      </c>
      <c r="D25" s="17" t="s">
        <v>678</v>
      </c>
      <c r="E25" s="15" t="s">
        <v>679</v>
      </c>
      <c r="F25" s="15" t="s">
        <v>675</v>
      </c>
      <c r="G25" s="17" t="s">
        <v>603</v>
      </c>
      <c r="H25" s="16" t="s">
        <v>677</v>
      </c>
      <c r="I25" s="16" t="s">
        <v>661</v>
      </c>
    </row>
    <row r="26" customFormat="false" ht="27.6" hidden="false" customHeight="false" outlineLevel="0" collapsed="false">
      <c r="A26" s="18" t="n">
        <v>22</v>
      </c>
      <c r="B26" s="20" t="s">
        <v>597</v>
      </c>
      <c r="C26" s="18" t="s">
        <v>610</v>
      </c>
      <c r="D26" s="21" t="s">
        <v>680</v>
      </c>
      <c r="E26" s="21" t="s">
        <v>681</v>
      </c>
      <c r="F26" s="21" t="s">
        <v>682</v>
      </c>
      <c r="G26" s="21" t="s">
        <v>683</v>
      </c>
      <c r="H26" s="20" t="s">
        <v>604</v>
      </c>
      <c r="I26" s="20" t="s">
        <v>645</v>
      </c>
    </row>
    <row r="27" customFormat="false" ht="15" hidden="false" customHeight="false" outlineLevel="0" collapsed="false">
      <c r="A27" s="14" t="n">
        <v>23</v>
      </c>
      <c r="B27" s="16" t="s">
        <v>597</v>
      </c>
      <c r="C27" s="14" t="s">
        <v>610</v>
      </c>
      <c r="D27" s="17" t="s">
        <v>684</v>
      </c>
      <c r="E27" s="15" t="s">
        <v>685</v>
      </c>
      <c r="F27" s="15" t="s">
        <v>671</v>
      </c>
      <c r="G27" s="17" t="s">
        <v>603</v>
      </c>
      <c r="H27" s="16" t="s">
        <v>604</v>
      </c>
      <c r="I27" s="16" t="s">
        <v>645</v>
      </c>
    </row>
    <row r="28" customFormat="false" ht="27.6" hidden="false" customHeight="false" outlineLevel="0" collapsed="false">
      <c r="A28" s="18" t="n">
        <v>24</v>
      </c>
      <c r="B28" s="18" t="s">
        <v>686</v>
      </c>
      <c r="C28" s="18" t="s">
        <v>610</v>
      </c>
      <c r="D28" s="21" t="s">
        <v>687</v>
      </c>
      <c r="E28" s="19" t="s">
        <v>688</v>
      </c>
      <c r="F28" s="19" t="s">
        <v>689</v>
      </c>
      <c r="G28" s="21" t="s">
        <v>690</v>
      </c>
      <c r="H28" s="18" t="s">
        <v>42</v>
      </c>
      <c r="I28" s="20" t="s">
        <v>599</v>
      </c>
    </row>
    <row r="29" customFormat="false" ht="29.85" hidden="false" customHeight="false" outlineLevel="0" collapsed="false">
      <c r="A29" s="14" t="n">
        <v>25</v>
      </c>
      <c r="B29" s="14" t="s">
        <v>686</v>
      </c>
      <c r="C29" s="14" t="s">
        <v>600</v>
      </c>
      <c r="D29" s="17" t="s">
        <v>691</v>
      </c>
      <c r="E29" s="15" t="s">
        <v>692</v>
      </c>
      <c r="F29" s="17" t="s">
        <v>42</v>
      </c>
      <c r="G29" s="15" t="s">
        <v>693</v>
      </c>
      <c r="H29" s="14" t="s">
        <v>42</v>
      </c>
      <c r="I29" s="16" t="s">
        <v>694</v>
      </c>
    </row>
    <row r="31" customFormat="false" ht="17.15" hidden="false" customHeight="false" outlineLevel="0" collapsed="false">
      <c r="D31" s="22" t="s">
        <v>695</v>
      </c>
      <c r="E31" s="23" t="n">
        <f aca="false">COUNTIF(B5:B29,"백엔드")+COUNTIF(B5:B29,"인증")</f>
        <v>23</v>
      </c>
    </row>
    <row r="32" customFormat="false" ht="17.15" hidden="false" customHeight="false" outlineLevel="0" collapsed="false">
      <c r="D32" s="22" t="s">
        <v>696</v>
      </c>
      <c r="E32" s="38" t="s">
        <v>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70"/>
    <col collapsed="false" customWidth="true" hidden="false" outlineLevel="0" max="4" min="4" style="0" width="26"/>
  </cols>
  <sheetData>
    <row r="1" customFormat="false" ht="23.1" hidden="false" customHeight="false" outlineLevel="0" collapsed="false">
      <c r="A1" s="11" t="s">
        <v>698</v>
      </c>
    </row>
    <row r="2" customFormat="false" ht="15" hidden="false" customHeight="false" outlineLevel="0" collapsed="false">
      <c r="A2" s="12" t="s">
        <v>699</v>
      </c>
    </row>
    <row r="4" customFormat="false" ht="15" hidden="false" customHeight="false" outlineLevel="0" collapsed="false">
      <c r="A4" s="13" t="s">
        <v>700</v>
      </c>
      <c r="B4" s="13" t="s">
        <v>701</v>
      </c>
      <c r="C4" s="13" t="s">
        <v>702</v>
      </c>
      <c r="D4" s="13" t="s">
        <v>101</v>
      </c>
    </row>
    <row r="5" customFormat="false" ht="29.85" hidden="false" customHeight="false" outlineLevel="0" collapsed="false">
      <c r="A5" s="14" t="s">
        <v>703</v>
      </c>
      <c r="B5" s="15" t="s">
        <v>704</v>
      </c>
      <c r="C5" s="17" t="s">
        <v>42</v>
      </c>
      <c r="D5" s="17" t="s">
        <v>705</v>
      </c>
    </row>
    <row r="6" customFormat="false" ht="15" hidden="false" customHeight="false" outlineLevel="0" collapsed="false">
      <c r="A6" s="18" t="s">
        <v>706</v>
      </c>
      <c r="B6" s="19" t="s">
        <v>707</v>
      </c>
      <c r="C6" s="21" t="s">
        <v>42</v>
      </c>
      <c r="D6" s="21" t="s">
        <v>275</v>
      </c>
    </row>
    <row r="7" customFormat="false" ht="15" hidden="false" customHeight="false" outlineLevel="0" collapsed="false">
      <c r="A7" s="14" t="s">
        <v>708</v>
      </c>
      <c r="B7" s="15" t="s">
        <v>709</v>
      </c>
      <c r="C7" s="17" t="s">
        <v>42</v>
      </c>
      <c r="D7" s="17" t="s">
        <v>710</v>
      </c>
    </row>
    <row r="8" customFormat="false" ht="29.85" hidden="false" customHeight="false" outlineLevel="0" collapsed="false">
      <c r="A8" s="18" t="s">
        <v>711</v>
      </c>
      <c r="B8" s="21" t="s">
        <v>712</v>
      </c>
      <c r="C8" s="19" t="s">
        <v>713</v>
      </c>
      <c r="D8" s="21" t="s">
        <v>714</v>
      </c>
    </row>
    <row r="9" customFormat="false" ht="15" hidden="false" customHeight="false" outlineLevel="0" collapsed="false">
      <c r="A9" s="14" t="s">
        <v>715</v>
      </c>
      <c r="B9" s="15" t="s">
        <v>716</v>
      </c>
      <c r="C9" s="15" t="s">
        <v>717</v>
      </c>
      <c r="D9" s="17" t="s">
        <v>129</v>
      </c>
    </row>
    <row r="10" customFormat="false" ht="29.85" hidden="false" customHeight="false" outlineLevel="0" collapsed="false">
      <c r="A10" s="18" t="s">
        <v>715</v>
      </c>
      <c r="B10" s="19" t="s">
        <v>718</v>
      </c>
      <c r="C10" s="21" t="s">
        <v>719</v>
      </c>
      <c r="D10" s="21" t="s">
        <v>720</v>
      </c>
    </row>
    <row r="11" customFormat="false" ht="29.85" hidden="false" customHeight="false" outlineLevel="0" collapsed="false">
      <c r="A11" s="14" t="s">
        <v>715</v>
      </c>
      <c r="B11" s="15" t="s">
        <v>721</v>
      </c>
      <c r="C11" s="15" t="s">
        <v>722</v>
      </c>
      <c r="D11" s="17" t="s">
        <v>723</v>
      </c>
    </row>
    <row r="12" customFormat="false" ht="27.6" hidden="false" customHeight="false" outlineLevel="0" collapsed="false">
      <c r="A12" s="18" t="s">
        <v>715</v>
      </c>
      <c r="B12" s="19" t="s">
        <v>724</v>
      </c>
      <c r="C12" s="19" t="s">
        <v>725</v>
      </c>
      <c r="D12" s="21" t="s">
        <v>176</v>
      </c>
    </row>
    <row r="13" customFormat="false" ht="29.85" hidden="false" customHeight="false" outlineLevel="0" collapsed="false">
      <c r="A13" s="14" t="s">
        <v>715</v>
      </c>
      <c r="B13" s="15" t="s">
        <v>726</v>
      </c>
      <c r="C13" s="15" t="s">
        <v>727</v>
      </c>
      <c r="D13" s="17" t="s">
        <v>186</v>
      </c>
    </row>
    <row r="14" customFormat="false" ht="29.85" hidden="false" customHeight="false" outlineLevel="0" collapsed="false">
      <c r="A14" s="18" t="s">
        <v>7</v>
      </c>
      <c r="B14" s="19" t="s">
        <v>728</v>
      </c>
      <c r="C14" s="19" t="s">
        <v>729</v>
      </c>
      <c r="D14" s="21" t="s">
        <v>207</v>
      </c>
    </row>
    <row r="15" customFormat="false" ht="15" hidden="false" customHeight="false" outlineLevel="0" collapsed="false">
      <c r="A15" s="14" t="s">
        <v>7</v>
      </c>
      <c r="B15" s="17" t="s">
        <v>730</v>
      </c>
      <c r="C15" s="15" t="s">
        <v>731</v>
      </c>
      <c r="D15" s="17" t="s">
        <v>732</v>
      </c>
    </row>
    <row r="16" customFormat="false" ht="15" hidden="false" customHeight="false" outlineLevel="0" collapsed="false">
      <c r="A16" s="18" t="s">
        <v>7</v>
      </c>
      <c r="B16" s="19" t="s">
        <v>733</v>
      </c>
      <c r="C16" s="19" t="s">
        <v>734</v>
      </c>
      <c r="D16" s="21" t="s">
        <v>735</v>
      </c>
    </row>
    <row r="17" customFormat="false" ht="15" hidden="false" customHeight="false" outlineLevel="0" collapsed="false">
      <c r="A17" s="14" t="s">
        <v>7</v>
      </c>
      <c r="B17" s="15" t="s">
        <v>736</v>
      </c>
      <c r="C17" s="17" t="s">
        <v>42</v>
      </c>
      <c r="D17" s="17" t="s">
        <v>737</v>
      </c>
    </row>
    <row r="18" customFormat="false" ht="29.85" hidden="false" customHeight="false" outlineLevel="0" collapsed="false">
      <c r="A18" s="18" t="s">
        <v>7</v>
      </c>
      <c r="B18" s="19" t="s">
        <v>738</v>
      </c>
      <c r="C18" s="19" t="s">
        <v>739</v>
      </c>
      <c r="D18" s="21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34"/>
  </cols>
  <sheetData>
    <row r="1" customFormat="false" ht="23.1" hidden="false" customHeight="false" outlineLevel="0" collapsed="false">
      <c r="A1" s="11" t="s">
        <v>741</v>
      </c>
    </row>
    <row r="2" customFormat="false" ht="15" hidden="false" customHeight="false" outlineLevel="0" collapsed="false">
      <c r="A2" s="12" t="s">
        <v>742</v>
      </c>
    </row>
    <row r="4" customFormat="false" ht="15" hidden="false" customHeight="false" outlineLevel="0" collapsed="false">
      <c r="A4" s="24" t="s">
        <v>92</v>
      </c>
      <c r="B4" s="13" t="s">
        <v>93</v>
      </c>
      <c r="C4" s="13" t="s">
        <v>743</v>
      </c>
      <c r="D4" s="13" t="s">
        <v>744</v>
      </c>
      <c r="E4" s="13" t="s">
        <v>745</v>
      </c>
      <c r="F4" s="13" t="s">
        <v>746</v>
      </c>
    </row>
    <row r="5" customFormat="false" ht="27.6" hidden="false" customHeight="false" outlineLevel="0" collapsed="false">
      <c r="A5" s="14" t="s">
        <v>747</v>
      </c>
      <c r="B5" s="16" t="s">
        <v>748</v>
      </c>
      <c r="C5" s="17" t="s">
        <v>749</v>
      </c>
      <c r="D5" s="17" t="s">
        <v>750</v>
      </c>
      <c r="E5" s="17" t="s">
        <v>751</v>
      </c>
      <c r="F5" s="17" t="s">
        <v>752</v>
      </c>
    </row>
    <row r="6" customFormat="false" ht="15" hidden="false" customHeight="false" outlineLevel="0" collapsed="false">
      <c r="A6" s="18" t="s">
        <v>753</v>
      </c>
      <c r="B6" s="20" t="s">
        <v>748</v>
      </c>
      <c r="C6" s="21" t="s">
        <v>754</v>
      </c>
      <c r="D6" s="21" t="s">
        <v>755</v>
      </c>
      <c r="E6" s="21" t="s">
        <v>751</v>
      </c>
      <c r="F6" s="19" t="s">
        <v>756</v>
      </c>
    </row>
    <row r="7" customFormat="false" ht="29.85" hidden="false" customHeight="false" outlineLevel="0" collapsed="false">
      <c r="A7" s="14" t="s">
        <v>757</v>
      </c>
      <c r="B7" s="16" t="s">
        <v>748</v>
      </c>
      <c r="C7" s="17" t="s">
        <v>758</v>
      </c>
      <c r="D7" s="15" t="s">
        <v>759</v>
      </c>
      <c r="E7" s="17" t="s">
        <v>760</v>
      </c>
      <c r="F7" s="17" t="s">
        <v>761</v>
      </c>
    </row>
    <row r="8" customFormat="false" ht="15" hidden="false" customHeight="false" outlineLevel="0" collapsed="false">
      <c r="A8" s="18" t="s">
        <v>762</v>
      </c>
      <c r="B8" s="20" t="s">
        <v>748</v>
      </c>
      <c r="C8" s="19" t="s">
        <v>763</v>
      </c>
      <c r="D8" s="21" t="s">
        <v>764</v>
      </c>
      <c r="E8" s="21" t="s">
        <v>765</v>
      </c>
      <c r="F8" s="19" t="s">
        <v>766</v>
      </c>
    </row>
    <row r="9" customFormat="false" ht="15" hidden="false" customHeight="false" outlineLevel="0" collapsed="false">
      <c r="A9" s="14" t="s">
        <v>767</v>
      </c>
      <c r="B9" s="16" t="s">
        <v>748</v>
      </c>
      <c r="C9" s="17" t="s">
        <v>768</v>
      </c>
      <c r="D9" s="15" t="s">
        <v>769</v>
      </c>
      <c r="E9" s="15" t="s">
        <v>770</v>
      </c>
      <c r="F9" s="17" t="s">
        <v>771</v>
      </c>
    </row>
    <row r="10" customFormat="false" ht="15" hidden="false" customHeight="false" outlineLevel="0" collapsed="false">
      <c r="A10" s="18" t="s">
        <v>772</v>
      </c>
      <c r="B10" s="20" t="s">
        <v>748</v>
      </c>
      <c r="C10" s="19" t="s">
        <v>773</v>
      </c>
      <c r="D10" s="19" t="s">
        <v>774</v>
      </c>
      <c r="E10" s="21" t="s">
        <v>775</v>
      </c>
      <c r="F10" s="19" t="s">
        <v>776</v>
      </c>
    </row>
    <row r="11" customFormat="false" ht="15" hidden="false" customHeight="false" outlineLevel="0" collapsed="false">
      <c r="A11" s="14" t="s">
        <v>777</v>
      </c>
      <c r="B11" s="16" t="s">
        <v>778</v>
      </c>
      <c r="C11" s="15" t="s">
        <v>779</v>
      </c>
      <c r="D11" s="15" t="s">
        <v>780</v>
      </c>
      <c r="E11" s="15" t="s">
        <v>781</v>
      </c>
      <c r="F11" s="17" t="s">
        <v>782</v>
      </c>
    </row>
    <row r="12" customFormat="false" ht="15" hidden="false" customHeight="false" outlineLevel="0" collapsed="false">
      <c r="A12" s="18" t="s">
        <v>783</v>
      </c>
      <c r="B12" s="20" t="s">
        <v>778</v>
      </c>
      <c r="C12" s="19" t="s">
        <v>784</v>
      </c>
      <c r="D12" s="19" t="s">
        <v>785</v>
      </c>
      <c r="E12" s="19" t="s">
        <v>786</v>
      </c>
      <c r="F12" s="19" t="s">
        <v>787</v>
      </c>
    </row>
    <row r="13" customFormat="false" ht="15" hidden="false" customHeight="false" outlineLevel="0" collapsed="false">
      <c r="A13" s="14" t="s">
        <v>788</v>
      </c>
      <c r="B13" s="16" t="s">
        <v>778</v>
      </c>
      <c r="C13" s="15" t="s">
        <v>789</v>
      </c>
      <c r="D13" s="15" t="s">
        <v>790</v>
      </c>
      <c r="E13" s="15" t="s">
        <v>791</v>
      </c>
      <c r="F13" s="15" t="s">
        <v>792</v>
      </c>
    </row>
    <row r="14" customFormat="false" ht="15" hidden="false" customHeight="false" outlineLevel="0" collapsed="false">
      <c r="A14" s="18" t="s">
        <v>793</v>
      </c>
      <c r="B14" s="20" t="s">
        <v>778</v>
      </c>
      <c r="C14" s="19" t="s">
        <v>794</v>
      </c>
      <c r="D14" s="19" t="s">
        <v>795</v>
      </c>
      <c r="E14" s="19" t="s">
        <v>791</v>
      </c>
      <c r="F14" s="19" t="s">
        <v>796</v>
      </c>
    </row>
    <row r="15" customFormat="false" ht="15" hidden="false" customHeight="false" outlineLevel="0" collapsed="false">
      <c r="A15" s="14" t="s">
        <v>797</v>
      </c>
      <c r="B15" s="16" t="s">
        <v>778</v>
      </c>
      <c r="C15" s="15" t="s">
        <v>798</v>
      </c>
      <c r="D15" s="15" t="s">
        <v>799</v>
      </c>
      <c r="E15" s="17" t="s">
        <v>800</v>
      </c>
      <c r="F15" s="15" t="s">
        <v>801</v>
      </c>
    </row>
    <row r="16" customFormat="false" ht="15" hidden="false" customHeight="false" outlineLevel="0" collapsed="false">
      <c r="A16" s="18" t="s">
        <v>802</v>
      </c>
      <c r="B16" s="20" t="s">
        <v>778</v>
      </c>
      <c r="C16" s="19" t="s">
        <v>803</v>
      </c>
      <c r="D16" s="19" t="s">
        <v>804</v>
      </c>
      <c r="E16" s="21" t="s">
        <v>805</v>
      </c>
      <c r="F16" s="19" t="s">
        <v>806</v>
      </c>
    </row>
    <row r="17" customFormat="false" ht="15" hidden="false" customHeight="false" outlineLevel="0" collapsed="false">
      <c r="A17" s="14" t="s">
        <v>807</v>
      </c>
      <c r="B17" s="16" t="s">
        <v>778</v>
      </c>
      <c r="C17" s="15" t="s">
        <v>808</v>
      </c>
      <c r="D17" s="15" t="s">
        <v>809</v>
      </c>
      <c r="E17" s="17" t="s">
        <v>800</v>
      </c>
      <c r="F17" s="15" t="s">
        <v>810</v>
      </c>
    </row>
    <row r="18" customFormat="false" ht="29.85" hidden="false" customHeight="false" outlineLevel="0" collapsed="false">
      <c r="A18" s="18" t="s">
        <v>811</v>
      </c>
      <c r="B18" s="20" t="s">
        <v>778</v>
      </c>
      <c r="C18" s="19" t="s">
        <v>812</v>
      </c>
      <c r="D18" s="19" t="s">
        <v>813</v>
      </c>
      <c r="E18" s="19" t="s">
        <v>791</v>
      </c>
      <c r="F18" s="19" t="s">
        <v>814</v>
      </c>
    </row>
    <row r="19" customFormat="false" ht="15" hidden="false" customHeight="false" outlineLevel="0" collapsed="false">
      <c r="A19" s="14" t="s">
        <v>815</v>
      </c>
      <c r="B19" s="16" t="s">
        <v>778</v>
      </c>
      <c r="C19" s="15" t="s">
        <v>816</v>
      </c>
      <c r="D19" s="15" t="s">
        <v>817</v>
      </c>
      <c r="E19" s="15" t="s">
        <v>791</v>
      </c>
      <c r="F19" s="15" t="s">
        <v>818</v>
      </c>
    </row>
    <row r="20" customFormat="false" ht="15" hidden="false" customHeight="false" outlineLevel="0" collapsed="false">
      <c r="A20" s="18" t="s">
        <v>819</v>
      </c>
      <c r="B20" s="20" t="s">
        <v>778</v>
      </c>
      <c r="C20" s="19" t="s">
        <v>820</v>
      </c>
      <c r="D20" s="21" t="s">
        <v>821</v>
      </c>
      <c r="E20" s="19" t="s">
        <v>791</v>
      </c>
      <c r="F20" s="19" t="s">
        <v>822</v>
      </c>
    </row>
    <row r="21" customFormat="false" ht="15" hidden="false" customHeight="false" outlineLevel="0" collapsed="false">
      <c r="A21" s="14" t="s">
        <v>823</v>
      </c>
      <c r="B21" s="16" t="s">
        <v>778</v>
      </c>
      <c r="C21" s="15" t="s">
        <v>824</v>
      </c>
      <c r="D21" s="15" t="s">
        <v>825</v>
      </c>
      <c r="E21" s="15" t="s">
        <v>791</v>
      </c>
      <c r="F21" s="15" t="s">
        <v>826</v>
      </c>
    </row>
    <row r="22" customFormat="false" ht="15" hidden="false" customHeight="false" outlineLevel="0" collapsed="false">
      <c r="A22" s="18" t="s">
        <v>827</v>
      </c>
      <c r="B22" s="20" t="s">
        <v>828</v>
      </c>
      <c r="C22" s="19" t="s">
        <v>829</v>
      </c>
      <c r="D22" s="19" t="s">
        <v>830</v>
      </c>
      <c r="E22" s="19" t="s">
        <v>831</v>
      </c>
      <c r="F22" s="19" t="s">
        <v>832</v>
      </c>
    </row>
    <row r="23" customFormat="false" ht="29.85" hidden="false" customHeight="false" outlineLevel="0" collapsed="false">
      <c r="A23" s="14" t="s">
        <v>833</v>
      </c>
      <c r="B23" s="16" t="s">
        <v>828</v>
      </c>
      <c r="C23" s="17" t="s">
        <v>834</v>
      </c>
      <c r="D23" s="15" t="s">
        <v>835</v>
      </c>
      <c r="E23" s="15" t="s">
        <v>836</v>
      </c>
      <c r="F23" s="15" t="s">
        <v>837</v>
      </c>
    </row>
    <row r="24" customFormat="false" ht="15" hidden="false" customHeight="false" outlineLevel="0" collapsed="false">
      <c r="A24" s="18" t="s">
        <v>838</v>
      </c>
      <c r="B24" s="20" t="s">
        <v>828</v>
      </c>
      <c r="C24" s="21" t="s">
        <v>839</v>
      </c>
      <c r="D24" s="21" t="s">
        <v>840</v>
      </c>
      <c r="E24" s="19" t="s">
        <v>841</v>
      </c>
      <c r="F24" s="19" t="s">
        <v>596</v>
      </c>
    </row>
    <row r="25" customFormat="false" ht="15" hidden="false" customHeight="false" outlineLevel="0" collapsed="false">
      <c r="A25" s="14" t="s">
        <v>842</v>
      </c>
      <c r="B25" s="16" t="s">
        <v>828</v>
      </c>
      <c r="C25" s="15" t="s">
        <v>843</v>
      </c>
      <c r="D25" s="15" t="s">
        <v>844</v>
      </c>
      <c r="E25" s="15" t="s">
        <v>845</v>
      </c>
      <c r="F25" s="17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5" min="4" style="0" width="12"/>
    <col collapsed="false" customWidth="true" hidden="false" outlineLevel="0" max="6" min="6" style="0" width="40"/>
    <col collapsed="false" customWidth="true" hidden="false" outlineLevel="0" max="7" min="7" style="0" width="58"/>
  </cols>
  <sheetData>
    <row r="1" customFormat="false" ht="23.1" hidden="false" customHeight="false" outlineLevel="0" collapsed="false">
      <c r="A1" s="11" t="s">
        <v>847</v>
      </c>
    </row>
    <row r="2" customFormat="false" ht="15" hidden="false" customHeight="false" outlineLevel="0" collapsed="false">
      <c r="A2" s="12" t="s">
        <v>34</v>
      </c>
    </row>
    <row r="4" customFormat="false" ht="15" hidden="false" customHeight="false" outlineLevel="0" collapsed="false">
      <c r="A4" s="24" t="s">
        <v>92</v>
      </c>
      <c r="B4" s="13" t="s">
        <v>93</v>
      </c>
      <c r="C4" s="13" t="s">
        <v>743</v>
      </c>
      <c r="D4" s="13" t="s">
        <v>848</v>
      </c>
      <c r="E4" s="13" t="s">
        <v>849</v>
      </c>
      <c r="F4" s="13" t="s">
        <v>850</v>
      </c>
      <c r="G4" s="13" t="s">
        <v>851</v>
      </c>
    </row>
    <row r="5" customFormat="false" ht="27.6" hidden="false" customHeight="false" outlineLevel="0" collapsed="false">
      <c r="A5" s="14" t="s">
        <v>747</v>
      </c>
      <c r="B5" s="16" t="s">
        <v>748</v>
      </c>
      <c r="C5" s="17" t="s">
        <v>749</v>
      </c>
      <c r="D5" s="14" t="s">
        <v>7</v>
      </c>
      <c r="E5" s="16" t="s">
        <v>852</v>
      </c>
      <c r="F5" s="17" t="s">
        <v>853</v>
      </c>
      <c r="G5" s="17" t="s">
        <v>42</v>
      </c>
    </row>
    <row r="6" customFormat="false" ht="15" hidden="false" customHeight="false" outlineLevel="0" collapsed="false">
      <c r="A6" s="18" t="s">
        <v>753</v>
      </c>
      <c r="B6" s="20" t="s">
        <v>748</v>
      </c>
      <c r="C6" s="21" t="s">
        <v>754</v>
      </c>
      <c r="D6" s="18" t="s">
        <v>7</v>
      </c>
      <c r="E6" s="20" t="s">
        <v>852</v>
      </c>
      <c r="F6" s="21" t="s">
        <v>854</v>
      </c>
      <c r="G6" s="21" t="s">
        <v>42</v>
      </c>
    </row>
    <row r="7" customFormat="false" ht="15" hidden="false" customHeight="false" outlineLevel="0" collapsed="false">
      <c r="A7" s="14" t="s">
        <v>757</v>
      </c>
      <c r="B7" s="16" t="s">
        <v>748</v>
      </c>
      <c r="C7" s="17" t="s">
        <v>758</v>
      </c>
      <c r="D7" s="14" t="s">
        <v>7</v>
      </c>
      <c r="E7" s="16" t="s">
        <v>852</v>
      </c>
      <c r="F7" s="17" t="s">
        <v>855</v>
      </c>
      <c r="G7" s="17" t="s">
        <v>42</v>
      </c>
    </row>
    <row r="8" customFormat="false" ht="15" hidden="false" customHeight="false" outlineLevel="0" collapsed="false">
      <c r="A8" s="18" t="s">
        <v>762</v>
      </c>
      <c r="B8" s="20" t="s">
        <v>748</v>
      </c>
      <c r="C8" s="19" t="s">
        <v>763</v>
      </c>
      <c r="D8" s="18" t="s">
        <v>715</v>
      </c>
      <c r="E8" s="20" t="s">
        <v>856</v>
      </c>
      <c r="F8" s="19" t="s">
        <v>857</v>
      </c>
      <c r="G8" s="19" t="s">
        <v>858</v>
      </c>
    </row>
    <row r="9" customFormat="false" ht="15" hidden="false" customHeight="false" outlineLevel="0" collapsed="false">
      <c r="A9" s="14" t="s">
        <v>767</v>
      </c>
      <c r="B9" s="16" t="s">
        <v>748</v>
      </c>
      <c r="C9" s="17" t="s">
        <v>768</v>
      </c>
      <c r="D9" s="14" t="s">
        <v>715</v>
      </c>
      <c r="E9" s="16" t="s">
        <v>856</v>
      </c>
      <c r="F9" s="15" t="s">
        <v>859</v>
      </c>
      <c r="G9" s="15" t="s">
        <v>860</v>
      </c>
    </row>
    <row r="10" customFormat="false" ht="15" hidden="false" customHeight="false" outlineLevel="0" collapsed="false">
      <c r="A10" s="18" t="s">
        <v>772</v>
      </c>
      <c r="B10" s="20" t="s">
        <v>748</v>
      </c>
      <c r="C10" s="19" t="s">
        <v>773</v>
      </c>
      <c r="D10" s="18" t="s">
        <v>7</v>
      </c>
      <c r="E10" s="20" t="s">
        <v>852</v>
      </c>
      <c r="F10" s="19" t="s">
        <v>776</v>
      </c>
      <c r="G10" s="19" t="s">
        <v>861</v>
      </c>
    </row>
    <row r="11" customFormat="false" ht="15" hidden="false" customHeight="false" outlineLevel="0" collapsed="false">
      <c r="A11" s="14" t="s">
        <v>777</v>
      </c>
      <c r="B11" s="16" t="s">
        <v>778</v>
      </c>
      <c r="C11" s="15" t="s">
        <v>779</v>
      </c>
      <c r="D11" s="14" t="s">
        <v>7</v>
      </c>
      <c r="E11" s="16" t="s">
        <v>852</v>
      </c>
      <c r="F11" s="15" t="s">
        <v>862</v>
      </c>
      <c r="G11" s="17" t="s">
        <v>42</v>
      </c>
    </row>
    <row r="12" customFormat="false" ht="15" hidden="false" customHeight="false" outlineLevel="0" collapsed="false">
      <c r="A12" s="18" t="s">
        <v>783</v>
      </c>
      <c r="B12" s="20" t="s">
        <v>778</v>
      </c>
      <c r="C12" s="19" t="s">
        <v>784</v>
      </c>
      <c r="D12" s="18" t="s">
        <v>7</v>
      </c>
      <c r="E12" s="20" t="s">
        <v>852</v>
      </c>
      <c r="F12" s="19" t="s">
        <v>863</v>
      </c>
      <c r="G12" s="19" t="s">
        <v>864</v>
      </c>
    </row>
    <row r="13" customFormat="false" ht="15" hidden="false" customHeight="false" outlineLevel="0" collapsed="false">
      <c r="A13" s="14" t="s">
        <v>788</v>
      </c>
      <c r="B13" s="16" t="s">
        <v>778</v>
      </c>
      <c r="C13" s="15" t="s">
        <v>789</v>
      </c>
      <c r="D13" s="14" t="s">
        <v>7</v>
      </c>
      <c r="E13" s="16" t="s">
        <v>852</v>
      </c>
      <c r="F13" s="15" t="s">
        <v>792</v>
      </c>
      <c r="G13" s="15" t="s">
        <v>865</v>
      </c>
    </row>
    <row r="14" customFormat="false" ht="15" hidden="false" customHeight="false" outlineLevel="0" collapsed="false">
      <c r="A14" s="18" t="s">
        <v>793</v>
      </c>
      <c r="B14" s="20" t="s">
        <v>778</v>
      </c>
      <c r="C14" s="19" t="s">
        <v>794</v>
      </c>
      <c r="D14" s="18" t="s">
        <v>7</v>
      </c>
      <c r="E14" s="20" t="s">
        <v>852</v>
      </c>
      <c r="F14" s="19" t="s">
        <v>866</v>
      </c>
      <c r="G14" s="21" t="s">
        <v>42</v>
      </c>
    </row>
    <row r="15" customFormat="false" ht="15" hidden="false" customHeight="false" outlineLevel="0" collapsed="false">
      <c r="A15" s="14" t="s">
        <v>797</v>
      </c>
      <c r="B15" s="16" t="s">
        <v>778</v>
      </c>
      <c r="C15" s="15" t="s">
        <v>798</v>
      </c>
      <c r="D15" s="14" t="s">
        <v>7</v>
      </c>
      <c r="E15" s="16" t="s">
        <v>852</v>
      </c>
      <c r="F15" s="17" t="s">
        <v>867</v>
      </c>
      <c r="G15" s="17" t="s">
        <v>42</v>
      </c>
    </row>
    <row r="16" customFormat="false" ht="15" hidden="false" customHeight="false" outlineLevel="0" collapsed="false">
      <c r="A16" s="18" t="s">
        <v>802</v>
      </c>
      <c r="B16" s="20" t="s">
        <v>778</v>
      </c>
      <c r="C16" s="19" t="s">
        <v>803</v>
      </c>
      <c r="D16" s="18" t="s">
        <v>7</v>
      </c>
      <c r="E16" s="20" t="s">
        <v>856</v>
      </c>
      <c r="F16" s="19" t="s">
        <v>868</v>
      </c>
      <c r="G16" s="19" t="s">
        <v>869</v>
      </c>
    </row>
    <row r="17" customFormat="false" ht="29.85" hidden="false" customHeight="false" outlineLevel="0" collapsed="false">
      <c r="A17" s="14" t="s">
        <v>807</v>
      </c>
      <c r="B17" s="16" t="s">
        <v>778</v>
      </c>
      <c r="C17" s="15" t="s">
        <v>808</v>
      </c>
      <c r="D17" s="14" t="s">
        <v>7</v>
      </c>
      <c r="E17" s="16" t="s">
        <v>856</v>
      </c>
      <c r="F17" s="15" t="s">
        <v>870</v>
      </c>
      <c r="G17" s="15" t="s">
        <v>871</v>
      </c>
    </row>
    <row r="18" customFormat="false" ht="15" hidden="false" customHeight="false" outlineLevel="0" collapsed="false">
      <c r="A18" s="18" t="s">
        <v>811</v>
      </c>
      <c r="B18" s="20" t="s">
        <v>778</v>
      </c>
      <c r="C18" s="19" t="s">
        <v>812</v>
      </c>
      <c r="D18" s="18" t="s">
        <v>7</v>
      </c>
      <c r="E18" s="20" t="s">
        <v>852</v>
      </c>
      <c r="F18" s="19" t="s">
        <v>872</v>
      </c>
      <c r="G18" s="21" t="s">
        <v>42</v>
      </c>
    </row>
    <row r="19" customFormat="false" ht="15" hidden="false" customHeight="false" outlineLevel="0" collapsed="false">
      <c r="A19" s="14" t="s">
        <v>815</v>
      </c>
      <c r="B19" s="16" t="s">
        <v>778</v>
      </c>
      <c r="C19" s="15" t="s">
        <v>816</v>
      </c>
      <c r="D19" s="14" t="s">
        <v>7</v>
      </c>
      <c r="E19" s="16" t="s">
        <v>852</v>
      </c>
      <c r="F19" s="15" t="s">
        <v>873</v>
      </c>
      <c r="G19" s="17" t="s">
        <v>42</v>
      </c>
    </row>
    <row r="20" customFormat="false" ht="15" hidden="false" customHeight="false" outlineLevel="0" collapsed="false">
      <c r="A20" s="18" t="s">
        <v>819</v>
      </c>
      <c r="B20" s="20" t="s">
        <v>778</v>
      </c>
      <c r="C20" s="19" t="s">
        <v>820</v>
      </c>
      <c r="D20" s="18" t="s">
        <v>7</v>
      </c>
      <c r="E20" s="20" t="s">
        <v>852</v>
      </c>
      <c r="F20" s="19" t="s">
        <v>874</v>
      </c>
      <c r="G20" s="21" t="s">
        <v>42</v>
      </c>
    </row>
    <row r="21" customFormat="false" ht="15" hidden="false" customHeight="false" outlineLevel="0" collapsed="false">
      <c r="A21" s="14" t="s">
        <v>823</v>
      </c>
      <c r="B21" s="16" t="s">
        <v>778</v>
      </c>
      <c r="C21" s="15" t="s">
        <v>824</v>
      </c>
      <c r="D21" s="14" t="s">
        <v>7</v>
      </c>
      <c r="E21" s="16" t="s">
        <v>856</v>
      </c>
      <c r="F21" s="15" t="s">
        <v>875</v>
      </c>
      <c r="G21" s="15" t="s">
        <v>876</v>
      </c>
    </row>
    <row r="22" customFormat="false" ht="25.35" hidden="false" customHeight="false" outlineLevel="0" collapsed="false">
      <c r="A22" s="18" t="s">
        <v>827</v>
      </c>
      <c r="B22" s="20" t="s">
        <v>828</v>
      </c>
      <c r="C22" s="19" t="s">
        <v>829</v>
      </c>
      <c r="D22" s="18" t="s">
        <v>877</v>
      </c>
      <c r="E22" s="20" t="s">
        <v>852</v>
      </c>
      <c r="F22" s="19" t="s">
        <v>836</v>
      </c>
      <c r="G22" s="21" t="s">
        <v>42</v>
      </c>
    </row>
    <row r="23" customFormat="false" ht="29.85" hidden="false" customHeight="false" outlineLevel="0" collapsed="false">
      <c r="A23" s="14" t="s">
        <v>833</v>
      </c>
      <c r="B23" s="16" t="s">
        <v>828</v>
      </c>
      <c r="C23" s="17" t="s">
        <v>834</v>
      </c>
      <c r="D23" s="14" t="s">
        <v>7</v>
      </c>
      <c r="E23" s="16" t="s">
        <v>852</v>
      </c>
      <c r="F23" s="15" t="s">
        <v>878</v>
      </c>
      <c r="G23" s="17" t="s">
        <v>42</v>
      </c>
    </row>
    <row r="24" customFormat="false" ht="15" hidden="false" customHeight="false" outlineLevel="0" collapsed="false">
      <c r="A24" s="18" t="s">
        <v>838</v>
      </c>
      <c r="B24" s="20" t="s">
        <v>828</v>
      </c>
      <c r="C24" s="21" t="s">
        <v>839</v>
      </c>
      <c r="D24" s="18" t="s">
        <v>7</v>
      </c>
      <c r="E24" s="20" t="s">
        <v>852</v>
      </c>
      <c r="F24" s="21" t="s">
        <v>879</v>
      </c>
      <c r="G24" s="21" t="s">
        <v>880</v>
      </c>
    </row>
    <row r="25" customFormat="false" ht="15" hidden="false" customHeight="false" outlineLevel="0" collapsed="false">
      <c r="A25" s="14" t="s">
        <v>842</v>
      </c>
      <c r="B25" s="16" t="s">
        <v>828</v>
      </c>
      <c r="C25" s="15" t="s">
        <v>843</v>
      </c>
      <c r="D25" s="14" t="s">
        <v>7</v>
      </c>
      <c r="E25" s="16" t="s">
        <v>881</v>
      </c>
      <c r="F25" s="17" t="s">
        <v>882</v>
      </c>
      <c r="G25" s="17" t="s">
        <v>883</v>
      </c>
    </row>
    <row r="28" customFormat="false" ht="15" hidden="false" customHeight="false" outlineLevel="0" collapsed="false">
      <c r="C28" s="22" t="s">
        <v>852</v>
      </c>
      <c r="D28" s="38" t="n">
        <f aca="false">COUNTIF(E5:E25,"통과")</f>
        <v>15</v>
      </c>
    </row>
    <row r="29" customFormat="false" ht="15" hidden="false" customHeight="false" outlineLevel="0" collapsed="false">
      <c r="C29" s="22" t="s">
        <v>856</v>
      </c>
      <c r="D29" s="38" t="n">
        <f aca="false">COUNTIF(E5:E25,"수정 후 통과")</f>
        <v>5</v>
      </c>
    </row>
    <row r="30" customFormat="false" ht="15" hidden="false" customHeight="false" outlineLevel="0" collapsed="false">
      <c r="C30" s="22" t="s">
        <v>881</v>
      </c>
      <c r="D30" s="38" t="n">
        <f aca="false">COUNTIF(E5:E25,"확인 대기")</f>
        <v>1</v>
      </c>
    </row>
    <row r="31" customFormat="false" ht="15" hidden="false" customHeight="false" outlineLevel="0" collapsed="false">
      <c r="C31" s="22" t="s">
        <v>884</v>
      </c>
      <c r="D31" s="38" t="n">
        <f aca="false">COUNTA(A5:A25)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2026-10-16T06:23:03Z</dcterms:created>
  <dc:creator>openpyxl</dc:creator>
  <dc:description/>
  <dc:language>en-US</dc:language>
  <cp:lastModifiedBy/>
  <dcterms:modified xsi:type="dcterms:W3CDTF">2026-10-16T06:23:04Z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